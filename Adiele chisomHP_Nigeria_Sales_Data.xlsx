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iel\Downloads\"/>
    </mc:Choice>
  </mc:AlternateContent>
  <xr:revisionPtr revIDLastSave="0" documentId="13_ncr:1_{CDCC3078-572B-47B9-9888-D3212983DAB2}" xr6:coauthVersionLast="47" xr6:coauthVersionMax="47" xr10:uidLastSave="{00000000-0000-0000-0000-000000000000}"/>
  <bookViews>
    <workbookView xWindow="-110" yWindow="-110" windowWidth="19420" windowHeight="10300" activeTab="3" xr2:uid="{00000000-000D-0000-FFFF-FFFF00000000}"/>
  </bookViews>
  <sheets>
    <sheet name="DASHBOARD" sheetId="2" r:id="rId1"/>
    <sheet name="Table" sheetId="4" r:id="rId2"/>
    <sheet name="Sheet2" sheetId="6" r:id="rId3"/>
    <sheet name="Dashboard2" sheetId="7" r:id="rId4"/>
    <sheet name="HP_Nigeria_Sales_Data.xlsx" sheetId="1" r:id="rId5"/>
  </sheets>
  <definedNames>
    <definedName name="_xlnm._FilterDatabase" localSheetId="4" hidden="1">HP_Nigeria_Sales_Data.xlsx!$A$1:$I$1</definedName>
    <definedName name="Slicer_Product">#N/A</definedName>
    <definedName name="Slicer_Product1">#N/A</definedName>
    <definedName name="Slicer_Region">#N/A</definedName>
    <definedName name="Slicer_Region1">#N/A</definedName>
    <definedName name="Slicer_Salesperson">#N/A</definedName>
    <definedName name="Slicer_Salesperson1">#N/A</definedName>
  </definedNames>
  <calcPr calcId="191029"/>
  <pivotCaches>
    <pivotCache cacheId="2"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1" i="1" l="1"/>
  <c r="H121" i="1"/>
  <c r="I120" i="1"/>
  <c r="H120" i="1"/>
  <c r="I119" i="1"/>
  <c r="H119" i="1"/>
  <c r="I118" i="1"/>
  <c r="H118" i="1"/>
  <c r="I117" i="1"/>
  <c r="H117" i="1"/>
  <c r="I116" i="1"/>
  <c r="H116" i="1"/>
  <c r="I115" i="1"/>
  <c r="H115" i="1"/>
  <c r="I114" i="1"/>
  <c r="H114" i="1"/>
  <c r="I113" i="1"/>
  <c r="H113" i="1"/>
  <c r="I112" i="1"/>
  <c r="H112" i="1"/>
  <c r="I111" i="1"/>
  <c r="H111" i="1"/>
  <c r="I110" i="1"/>
  <c r="H110" i="1"/>
  <c r="I109" i="1"/>
  <c r="H109" i="1"/>
  <c r="I108" i="1"/>
  <c r="H108" i="1"/>
  <c r="I107" i="1"/>
  <c r="H107" i="1"/>
  <c r="I106" i="1"/>
  <c r="H106" i="1"/>
  <c r="I105" i="1"/>
  <c r="H105" i="1"/>
  <c r="I104" i="1"/>
  <c r="H104" i="1"/>
  <c r="I103" i="1"/>
  <c r="H103" i="1"/>
  <c r="I102" i="1"/>
  <c r="H102" i="1"/>
  <c r="I101" i="1"/>
  <c r="H101" i="1"/>
  <c r="I100" i="1"/>
  <c r="H100" i="1"/>
  <c r="I99" i="1"/>
  <c r="H99" i="1"/>
  <c r="I98" i="1"/>
  <c r="H98" i="1"/>
  <c r="I97" i="1"/>
  <c r="H97" i="1"/>
  <c r="I96" i="1"/>
  <c r="H96" i="1"/>
  <c r="I95" i="1"/>
  <c r="H95" i="1"/>
  <c r="I94" i="1"/>
  <c r="H94" i="1"/>
  <c r="I93" i="1"/>
  <c r="H93" i="1"/>
  <c r="I92" i="1"/>
  <c r="H92" i="1"/>
  <c r="I91" i="1"/>
  <c r="H91" i="1"/>
  <c r="I90" i="1"/>
  <c r="H90" i="1"/>
  <c r="I89" i="1"/>
  <c r="H89" i="1"/>
  <c r="I88" i="1"/>
  <c r="H88" i="1"/>
  <c r="I87" i="1"/>
  <c r="H87" i="1"/>
  <c r="I86" i="1"/>
  <c r="H86" i="1"/>
  <c r="I85" i="1"/>
  <c r="H85" i="1"/>
  <c r="I84" i="1"/>
  <c r="H84" i="1"/>
  <c r="I83" i="1"/>
  <c r="H83" i="1"/>
  <c r="I82" i="1"/>
  <c r="H82" i="1"/>
  <c r="I81" i="1"/>
  <c r="H81" i="1"/>
  <c r="I80" i="1"/>
  <c r="H80" i="1"/>
  <c r="I79" i="1"/>
  <c r="H79" i="1"/>
  <c r="I78" i="1"/>
  <c r="H78" i="1"/>
  <c r="I77" i="1"/>
  <c r="H77" i="1"/>
  <c r="I76" i="1"/>
  <c r="H76" i="1"/>
  <c r="I75" i="1"/>
  <c r="H75" i="1"/>
  <c r="I74" i="1"/>
  <c r="H74" i="1"/>
  <c r="I73" i="1"/>
  <c r="H73" i="1"/>
  <c r="I72" i="1"/>
  <c r="H72" i="1"/>
  <c r="I71" i="1"/>
  <c r="H71" i="1"/>
  <c r="I70" i="1"/>
  <c r="H70" i="1"/>
  <c r="I69" i="1"/>
  <c r="H69" i="1"/>
  <c r="I68" i="1"/>
  <c r="H68" i="1"/>
  <c r="I67" i="1"/>
  <c r="H67" i="1"/>
  <c r="I66" i="1"/>
  <c r="H66" i="1"/>
  <c r="I65" i="1"/>
  <c r="H65" i="1"/>
  <c r="I64" i="1"/>
  <c r="H64" i="1"/>
  <c r="I63" i="1"/>
  <c r="H63" i="1"/>
  <c r="I62" i="1"/>
  <c r="H62" i="1"/>
  <c r="I61" i="1"/>
  <c r="H61" i="1"/>
  <c r="I60" i="1"/>
  <c r="H60" i="1"/>
  <c r="I59" i="1"/>
  <c r="H59" i="1"/>
  <c r="I58" i="1"/>
  <c r="H58" i="1"/>
  <c r="I57" i="1"/>
  <c r="H57" i="1"/>
  <c r="I56" i="1"/>
  <c r="H56" i="1"/>
  <c r="I55" i="1"/>
  <c r="H55" i="1"/>
  <c r="I54" i="1"/>
  <c r="H54" i="1"/>
  <c r="I53" i="1"/>
  <c r="H53" i="1"/>
  <c r="I52" i="1"/>
  <c r="H52" i="1"/>
  <c r="I51" i="1"/>
  <c r="H51" i="1"/>
  <c r="I50" i="1"/>
  <c r="H50" i="1"/>
  <c r="I49" i="1"/>
  <c r="H49" i="1"/>
  <c r="I48" i="1"/>
  <c r="H48" i="1"/>
  <c r="I47" i="1"/>
  <c r="H47" i="1"/>
  <c r="I46" i="1"/>
  <c r="H46" i="1"/>
  <c r="I45" i="1"/>
  <c r="H45" i="1"/>
  <c r="I44" i="1"/>
  <c r="H44" i="1"/>
  <c r="I43" i="1"/>
  <c r="H43" i="1"/>
  <c r="I42" i="1"/>
  <c r="H42" i="1"/>
  <c r="I41" i="1"/>
  <c r="H41" i="1"/>
  <c r="I40" i="1"/>
  <c r="H40" i="1"/>
  <c r="I39" i="1"/>
  <c r="H39" i="1"/>
  <c r="I38" i="1"/>
  <c r="H38" i="1"/>
  <c r="I37" i="1"/>
  <c r="H37" i="1"/>
  <c r="I36" i="1"/>
  <c r="H36" i="1"/>
  <c r="I35" i="1"/>
  <c r="H35" i="1"/>
  <c r="I34" i="1"/>
  <c r="H34" i="1"/>
  <c r="I33" i="1"/>
  <c r="H33" i="1"/>
  <c r="I32" i="1"/>
  <c r="H32" i="1"/>
  <c r="I31" i="1"/>
  <c r="H31" i="1"/>
  <c r="I30" i="1"/>
  <c r="H30" i="1"/>
  <c r="I29" i="1"/>
  <c r="H29" i="1"/>
  <c r="I28" i="1"/>
  <c r="H28" i="1"/>
  <c r="I27" i="1"/>
  <c r="H27" i="1"/>
  <c r="I26" i="1"/>
  <c r="H26" i="1"/>
  <c r="I25" i="1"/>
  <c r="H25" i="1"/>
  <c r="I24" i="1"/>
  <c r="H24" i="1"/>
  <c r="I23" i="1"/>
  <c r="H23" i="1"/>
  <c r="I22" i="1"/>
  <c r="H22" i="1"/>
  <c r="I21" i="1"/>
  <c r="H21" i="1"/>
  <c r="I20" i="1"/>
  <c r="H20" i="1"/>
  <c r="I19" i="1"/>
  <c r="H19" i="1"/>
  <c r="I18" i="1"/>
  <c r="H18" i="1"/>
  <c r="I17" i="1"/>
  <c r="H17" i="1"/>
  <c r="I16" i="1"/>
  <c r="H16" i="1"/>
  <c r="I15" i="1"/>
  <c r="H15" i="1"/>
  <c r="I14" i="1"/>
  <c r="H14" i="1"/>
  <c r="I13" i="1"/>
  <c r="H13" i="1"/>
  <c r="I12" i="1"/>
  <c r="H12" i="1"/>
  <c r="I11" i="1"/>
  <c r="H11" i="1"/>
  <c r="I10" i="1"/>
  <c r="H10" i="1"/>
  <c r="I9" i="1"/>
  <c r="H9" i="1"/>
  <c r="I8" i="1"/>
  <c r="H8" i="1"/>
  <c r="I7" i="1"/>
  <c r="H7" i="1"/>
  <c r="I6" i="1"/>
  <c r="H6" i="1"/>
  <c r="I5" i="1"/>
  <c r="H5" i="1"/>
  <c r="I4" i="1"/>
  <c r="H4" i="1"/>
  <c r="I3" i="1"/>
  <c r="H3" i="1"/>
  <c r="I2" i="1"/>
  <c r="H2" i="1"/>
  <c r="H122" i="2" a="1"/>
  <c r="H122" i="2" s="1"/>
  <c r="A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<sst xmlns="http://schemas.openxmlformats.org/spreadsheetml/2006/main" count="443" uniqueCount="38">
  <si>
    <t>HP SALES PERFOMNACE DASHBOARD-2025</t>
  </si>
  <si>
    <t>Row Labels</t>
  </si>
  <si>
    <t>Sum of Sales</t>
  </si>
  <si>
    <t>East</t>
  </si>
  <si>
    <t>North</t>
  </si>
  <si>
    <t>South</t>
  </si>
  <si>
    <t>West</t>
  </si>
  <si>
    <t>Grand Total</t>
  </si>
  <si>
    <t>Sum of profit</t>
  </si>
  <si>
    <t>Ada</t>
  </si>
  <si>
    <t>Chidi</t>
  </si>
  <si>
    <t>Efe</t>
  </si>
  <si>
    <t>Grace</t>
  </si>
  <si>
    <t>Musa</t>
  </si>
  <si>
    <t>Headset</t>
  </si>
  <si>
    <t>Jan</t>
  </si>
  <si>
    <t>Feb</t>
  </si>
  <si>
    <t>Mar</t>
  </si>
  <si>
    <t>Apr</t>
  </si>
  <si>
    <t>May</t>
  </si>
  <si>
    <t>Date</t>
  </si>
  <si>
    <t>Region</t>
  </si>
  <si>
    <t>Salesperson</t>
  </si>
  <si>
    <t>Product</t>
  </si>
  <si>
    <t>Cost</t>
  </si>
  <si>
    <t>Units Sold</t>
  </si>
  <si>
    <t>Unit Price</t>
  </si>
  <si>
    <t>Sales</t>
  </si>
  <si>
    <t>profit</t>
  </si>
  <si>
    <t>Printer</t>
  </si>
  <si>
    <t>Mouse</t>
  </si>
  <si>
    <t>Bola</t>
  </si>
  <si>
    <t>Monitor</t>
  </si>
  <si>
    <t>Laptop</t>
  </si>
  <si>
    <t>Keyboard</t>
  </si>
  <si>
    <t>Jun</t>
  </si>
  <si>
    <t>Column Labels</t>
  </si>
  <si>
    <t>HP NIGERIA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</si>
</sst>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x14ac:knownFonts="1">
    <font>
      <sz val="11"/>
      <color theme="1"/>
      <name val="Aptos Narrow"/>
      <charset val="134"/>
      <scheme val="minor"/>
    </font>
    <font>
      <b/>
      <sz val="11"/>
      <color theme="1"/>
      <name val="Aptos Narrow"/>
      <charset val="134"/>
      <scheme val="minor"/>
    </font>
    <font>
      <sz val="20"/>
      <color theme="1"/>
      <name val="Aptos Narrow"/>
      <charset val="134"/>
      <scheme val="minor"/>
    </font>
    <font>
      <sz val="22"/>
      <color theme="1"/>
      <name val="Aptos Narrow"/>
      <charset val="134"/>
      <scheme val="minor"/>
    </font>
    <font>
      <sz val="11"/>
      <color theme="1"/>
      <name val="Aptos Narrow"/>
      <charset val="134"/>
      <scheme val="minor"/>
    </font>
    <font>
      <b/>
      <sz val="16"/>
      <color theme="1"/>
      <name val="Algerian"/>
      <family val="5"/>
    </font>
    <font>
      <sz val="16"/>
      <color theme="1"/>
      <name val="Algerian"/>
      <family val="5"/>
    </font>
  </fonts>
  <fills count="4">
    <fill>
      <patternFill patternType="none"/>
    </fill>
    <fill>
      <patternFill patternType="gray125"/>
    </fill>
    <fill>
      <patternFill patternType="solid">
        <fgColor theme="4"/>
        <bgColor indexed="64"/>
      </patternFill>
    </fill>
    <fill>
      <patternFill patternType="solid">
        <fgColor theme="4" tint="0.79998168889431442"/>
        <bgColor indexed="64"/>
      </patternFill>
    </fill>
  </fills>
  <borders count="3">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4" fillId="0" borderId="0" applyFont="0" applyFill="0" applyBorder="0" applyAlignment="0" applyProtection="0"/>
  </cellStyleXfs>
  <cellXfs count="18">
    <xf numFmtId="0" fontId="0" fillId="0" borderId="0" xfId="0"/>
    <xf numFmtId="22" fontId="0" fillId="0" borderId="0" xfId="0" applyNumberFormat="1"/>
    <xf numFmtId="0" fontId="0" fillId="0" borderId="0" xfId="0" applyAlignment="1">
      <alignment horizontal="left"/>
    </xf>
    <xf numFmtId="0" fontId="0" fillId="2" borderId="0" xfId="0" applyFill="1" applyAlignment="1">
      <alignment horizontal="center"/>
    </xf>
    <xf numFmtId="0" fontId="2" fillId="2" borderId="0" xfId="0" applyFont="1" applyFill="1"/>
    <xf numFmtId="0" fontId="0" fillId="2" borderId="0" xfId="0" applyFill="1"/>
    <xf numFmtId="0" fontId="3" fillId="2" borderId="0" xfId="0" applyFont="1" applyFill="1"/>
    <xf numFmtId="0" fontId="0" fillId="0" borderId="0" xfId="0" pivotButton="1"/>
    <xf numFmtId="0" fontId="1" fillId="2" borderId="1" xfId="0" applyFont="1" applyFill="1" applyBorder="1"/>
    <xf numFmtId="1" fontId="1" fillId="2" borderId="2" xfId="1" applyNumberFormat="1" applyFont="1" applyFill="1" applyBorder="1"/>
    <xf numFmtId="1" fontId="0" fillId="0" borderId="0" xfId="1" applyNumberFormat="1" applyFont="1"/>
    <xf numFmtId="0" fontId="0" fillId="3" borderId="0" xfId="0" applyFill="1"/>
    <xf numFmtId="0" fontId="5" fillId="3" borderId="0" xfId="0" applyFont="1" applyFill="1"/>
    <xf numFmtId="0" fontId="6" fillId="3" borderId="0" xfId="0" applyFont="1" applyFill="1"/>
    <xf numFmtId="44" fontId="0" fillId="0" borderId="0" xfId="0" applyNumberFormat="1" applyAlignment="1">
      <alignment horizontal="center"/>
    </xf>
    <xf numFmtId="0" fontId="0" fillId="0" borderId="0" xfId="0" applyAlignment="1">
      <alignment horizontal="center"/>
    </xf>
    <xf numFmtId="0" fontId="0" fillId="2" borderId="0" xfId="0" applyFill="1" applyAlignment="1">
      <alignment horizontal="center"/>
    </xf>
    <xf numFmtId="0" fontId="0" fillId="0" borderId="0" xfId="0" applyNumberFormat="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[Adiele chisom_HP_Nigeria_Sales_Data.xlsx]Table!PivotTable2</c:name>
    <c:fmtId val="2"/>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Sales by Region</a:t>
            </a:r>
          </a:p>
          <a:p>
            <a:pPr>
              <a:defRPr/>
            </a:pPr>
            <a:endParaRPr lang="en-US"/>
          </a:p>
        </c:rich>
      </c:tx>
      <c:layout>
        <c:manualLayout>
          <c:xMode val="edge"/>
          <c:yMode val="edge"/>
          <c:x val="0.38515453396916483"/>
          <c:y val="0.13561975504517021"/>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Table!$A$2:$A$6</c:f>
              <c:strCache>
                <c:ptCount val="4"/>
                <c:pt idx="0">
                  <c:v>East</c:v>
                </c:pt>
                <c:pt idx="1">
                  <c:v>North</c:v>
                </c:pt>
                <c:pt idx="2">
                  <c:v>South</c:v>
                </c:pt>
                <c:pt idx="3">
                  <c:v>West</c:v>
                </c:pt>
              </c:strCache>
            </c:strRef>
          </c:cat>
          <c:val>
            <c:numRef>
              <c:f>Table!$B$2:$B$6</c:f>
              <c:numCache>
                <c:formatCode>General</c:formatCode>
                <c:ptCount val="4"/>
                <c:pt idx="0">
                  <c:v>28850000</c:v>
                </c:pt>
                <c:pt idx="1">
                  <c:v>26320000</c:v>
                </c:pt>
                <c:pt idx="2">
                  <c:v>22220000</c:v>
                </c:pt>
                <c:pt idx="3">
                  <c:v>22835000</c:v>
                </c:pt>
              </c:numCache>
            </c:numRef>
          </c:val>
          <c:extLst>
            <c:ext xmlns:c16="http://schemas.microsoft.com/office/drawing/2014/chart" uri="{C3380CC4-5D6E-409C-BE32-E72D297353CC}">
              <c16:uniqueId val="{00000000-7EE2-41C6-8E91-4D16C9262463}"/>
            </c:ext>
          </c:extLst>
        </c:ser>
        <c:dLbls>
          <c:showLegendKey val="0"/>
          <c:showVal val="0"/>
          <c:showCatName val="0"/>
          <c:showSerName val="0"/>
          <c:showPercent val="0"/>
          <c:showBubbleSize val="0"/>
        </c:dLbls>
        <c:gapWidth val="267"/>
        <c:overlap val="-43"/>
        <c:axId val="85964784"/>
        <c:axId val="101603696"/>
      </c:barChart>
      <c:catAx>
        <c:axId val="8596478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LID4096"/>
          </a:p>
        </c:txPr>
        <c:crossAx val="101603696"/>
        <c:crosses val="autoZero"/>
        <c:auto val="1"/>
        <c:lblAlgn val="ctr"/>
        <c:lblOffset val="100"/>
        <c:noMultiLvlLbl val="0"/>
      </c:catAx>
      <c:valAx>
        <c:axId val="10160369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LID4096"/>
          </a:p>
        </c:txPr>
        <c:crossAx val="8596478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LID4096"/>
        </a:p>
      </c:txPr>
    </c:legend>
    <c:plotVisOnly val="1"/>
    <c:dispBlanksAs val="gap"/>
    <c:showDLblsOverMax val="0"/>
    <c:extLst>
      <c:ext uri="{0b15fc19-7d7d-44ad-8c2d-2c3a37ce22c3}">
        <chartProps xmlns="https://web.wps.cn/et/2018/main" chartId="{3d11ab3f-c426-4dbd-bbf7-22d1c86d7317}"/>
      </c:ext>
    </c:extLst>
  </c:chart>
  <c:spPr>
    <a:solidFill>
      <a:schemeClr val="lt1"/>
    </a:solidFill>
    <a:ln w="9525" cap="flat" cmpd="sng" algn="ctr">
      <a:solidFill>
        <a:schemeClr val="dk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[Adiele chisom_HP_Nigeria_Sales_Data.xlsx]Table!PivotTable3</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Sales</a:t>
            </a:r>
            <a:r>
              <a:rPr lang="en-US" baseline="0"/>
              <a:t>person by profit</a:t>
            </a:r>
          </a:p>
          <a:p>
            <a:pPr>
              <a:defRPr/>
            </a:pP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Table!$A$20:$A$26</c:f>
              <c:strCache>
                <c:ptCount val="6"/>
                <c:pt idx="0">
                  <c:v>Ada</c:v>
                </c:pt>
                <c:pt idx="1">
                  <c:v>Bola</c:v>
                </c:pt>
                <c:pt idx="2">
                  <c:v>Chidi</c:v>
                </c:pt>
                <c:pt idx="3">
                  <c:v>Efe</c:v>
                </c:pt>
                <c:pt idx="4">
                  <c:v>Grace</c:v>
                </c:pt>
                <c:pt idx="5">
                  <c:v>Musa</c:v>
                </c:pt>
              </c:strCache>
            </c:strRef>
          </c:cat>
          <c:val>
            <c:numRef>
              <c:f>Table!$B$20:$B$26</c:f>
              <c:numCache>
                <c:formatCode>General</c:formatCode>
                <c:ptCount val="6"/>
                <c:pt idx="0">
                  <c:v>10585193</c:v>
                </c:pt>
                <c:pt idx="1">
                  <c:v>15696626</c:v>
                </c:pt>
                <c:pt idx="2">
                  <c:v>17340349</c:v>
                </c:pt>
                <c:pt idx="3">
                  <c:v>21246209</c:v>
                </c:pt>
                <c:pt idx="4">
                  <c:v>13648860</c:v>
                </c:pt>
                <c:pt idx="5">
                  <c:v>21311516</c:v>
                </c:pt>
              </c:numCache>
            </c:numRef>
          </c:val>
          <c:extLst>
            <c:ext xmlns:c16="http://schemas.microsoft.com/office/drawing/2014/chart" uri="{C3380CC4-5D6E-409C-BE32-E72D297353CC}">
              <c16:uniqueId val="{00000000-49C5-4B12-A778-D2CA65200F94}"/>
            </c:ext>
          </c:extLst>
        </c:ser>
        <c:dLbls>
          <c:showLegendKey val="0"/>
          <c:showVal val="1"/>
          <c:showCatName val="0"/>
          <c:showSerName val="0"/>
          <c:showPercent val="0"/>
          <c:showBubbleSize val="0"/>
        </c:dLbls>
        <c:gapWidth val="219"/>
        <c:axId val="85968960"/>
        <c:axId val="101627216"/>
      </c:barChart>
      <c:catAx>
        <c:axId val="85968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LID4096"/>
          </a:p>
        </c:txPr>
        <c:crossAx val="101627216"/>
        <c:crosses val="autoZero"/>
        <c:auto val="1"/>
        <c:lblAlgn val="ctr"/>
        <c:lblOffset val="100"/>
        <c:noMultiLvlLbl val="0"/>
      </c:catAx>
      <c:valAx>
        <c:axId val="101627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LID4096"/>
          </a:p>
        </c:txPr>
        <c:crossAx val="859689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n-US" sz="900" b="0"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uri="{0b15fc19-7d7d-44ad-8c2d-2c3a37ce22c3}">
        <chartProps xmlns="https://web.wps.cn/et/2018/main" chartId="{c5e61721-3d41-4087-bd89-64ba30d17b29}"/>
      </c:ext>
    </c:extLst>
  </c:chart>
  <c:spPr>
    <a:solidFill>
      <a:schemeClr val="accent3">
        <a:lumMod val="20000"/>
        <a:lumOff val="80000"/>
        <a:alpha val="65000"/>
      </a:schemeClr>
    </a:solidFill>
    <a:ln w="9525" cap="flat" cmpd="sng" algn="ctr">
      <a:solidFill>
        <a:schemeClr val="tx1">
          <a:lumMod val="15000"/>
          <a:lumOff val="85000"/>
        </a:schemeClr>
      </a:solidFill>
      <a:round/>
    </a:ln>
    <a:effectLst/>
  </c:spPr>
  <c:txPr>
    <a:bodyPr/>
    <a:lstStyle/>
    <a:p>
      <a:pPr>
        <a:defRPr lang="en-US"/>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[Adiele chisom_HP_Nigeria_Sales_Data.xlsx]Table!PivotTable4</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Table!$B$36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65F-49EF-86EA-FC2E33B50401}"/>
              </c:ext>
            </c:extLst>
          </c:dPt>
          <c:dPt>
            <c:idx val="1"/>
            <c:bubble3D val="0"/>
            <c:spPr>
              <a:solidFill>
                <a:schemeClr val="accent2"/>
              </a:solidFill>
              <a:ln>
                <a:noFill/>
              </a:ln>
              <a:effectLst/>
            </c:spPr>
            <c:extLst>
              <c:ext xmlns:c16="http://schemas.microsoft.com/office/drawing/2014/chart" uri="{C3380CC4-5D6E-409C-BE32-E72D297353CC}">
                <c16:uniqueId val="{00000003-D709-47E5-96B6-3A639A6A832E}"/>
              </c:ext>
            </c:extLst>
          </c:dPt>
          <c:dPt>
            <c:idx val="2"/>
            <c:bubble3D val="0"/>
            <c:spPr>
              <a:solidFill>
                <a:schemeClr val="accent3"/>
              </a:solidFill>
              <a:ln>
                <a:noFill/>
              </a:ln>
              <a:effectLst/>
            </c:spPr>
            <c:extLst>
              <c:ext xmlns:c16="http://schemas.microsoft.com/office/drawing/2014/chart" uri="{C3380CC4-5D6E-409C-BE32-E72D297353CC}">
                <c16:uniqueId val="{00000005-D709-47E5-96B6-3A639A6A832E}"/>
              </c:ext>
            </c:extLst>
          </c:dPt>
          <c:dPt>
            <c:idx val="3"/>
            <c:bubble3D val="0"/>
            <c:spPr>
              <a:solidFill>
                <a:schemeClr val="accent4"/>
              </a:solidFill>
              <a:ln>
                <a:noFill/>
              </a:ln>
              <a:effectLst/>
            </c:spPr>
            <c:extLst>
              <c:ext xmlns:c16="http://schemas.microsoft.com/office/drawing/2014/chart" uri="{C3380CC4-5D6E-409C-BE32-E72D297353CC}">
                <c16:uniqueId val="{00000007-D709-47E5-96B6-3A639A6A832E}"/>
              </c:ext>
            </c:extLst>
          </c:dPt>
          <c:dPt>
            <c:idx val="4"/>
            <c:bubble3D val="0"/>
            <c:spPr>
              <a:solidFill>
                <a:schemeClr val="accent5"/>
              </a:solidFill>
              <a:ln>
                <a:noFill/>
              </a:ln>
              <a:effectLst/>
            </c:spPr>
            <c:extLst>
              <c:ext xmlns:c16="http://schemas.microsoft.com/office/drawing/2014/chart" uri="{C3380CC4-5D6E-409C-BE32-E72D297353CC}">
                <c16:uniqueId val="{00000009-D709-47E5-96B6-3A639A6A832E}"/>
              </c:ext>
            </c:extLst>
          </c:dPt>
          <c:dPt>
            <c:idx val="5"/>
            <c:bubble3D val="0"/>
            <c:spPr>
              <a:solidFill>
                <a:schemeClr val="accent6"/>
              </a:solidFill>
              <a:ln>
                <a:noFill/>
              </a:ln>
              <a:effectLst/>
            </c:spPr>
            <c:extLst>
              <c:ext xmlns:c16="http://schemas.microsoft.com/office/drawing/2014/chart" uri="{C3380CC4-5D6E-409C-BE32-E72D297353CC}">
                <c16:uniqueId val="{0000000B-D709-47E5-96B6-3A639A6A832E}"/>
              </c:ext>
            </c:extLst>
          </c:dPt>
          <c:cat>
            <c:strRef>
              <c:f>Table!$A$37:$A$43</c:f>
              <c:strCache>
                <c:ptCount val="6"/>
                <c:pt idx="0">
                  <c:v>Headset</c:v>
                </c:pt>
                <c:pt idx="1">
                  <c:v>Keyboard</c:v>
                </c:pt>
                <c:pt idx="2">
                  <c:v>Laptop</c:v>
                </c:pt>
                <c:pt idx="3">
                  <c:v>Monitor</c:v>
                </c:pt>
                <c:pt idx="4">
                  <c:v>Mouse</c:v>
                </c:pt>
                <c:pt idx="5">
                  <c:v>Printer</c:v>
                </c:pt>
              </c:strCache>
            </c:strRef>
          </c:cat>
          <c:val>
            <c:numRef>
              <c:f>Table!$B$37:$B$43</c:f>
              <c:numCache>
                <c:formatCode>General</c:formatCode>
                <c:ptCount val="6"/>
                <c:pt idx="0">
                  <c:v>19480000</c:v>
                </c:pt>
                <c:pt idx="1">
                  <c:v>12540000</c:v>
                </c:pt>
                <c:pt idx="2">
                  <c:v>14775000</c:v>
                </c:pt>
                <c:pt idx="3">
                  <c:v>13620000</c:v>
                </c:pt>
                <c:pt idx="4">
                  <c:v>21655000</c:v>
                </c:pt>
                <c:pt idx="5">
                  <c:v>18155000</c:v>
                </c:pt>
              </c:numCache>
            </c:numRef>
          </c:val>
          <c:extLst>
            <c:ext xmlns:c16="http://schemas.microsoft.com/office/drawing/2014/chart" uri="{C3380CC4-5D6E-409C-BE32-E72D297353CC}">
              <c16:uniqueId val="{00000002-265F-49EF-86EA-FC2E33B5040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uri="{0b15fc19-7d7d-44ad-8c2d-2c3a37ce22c3}">
        <chartProps xmlns="https://web.wps.cn/et/2018/main" chartId="{70ecc59b-343d-4ee5-8416-66bdd7e16e77}"/>
      </c:ext>
    </c:extLst>
  </c:chart>
  <c:spPr>
    <a:solidFill>
      <a:schemeClr val="tx2">
        <a:lumMod val="50000"/>
        <a:lumOff val="50000"/>
        <a:alpha val="75000"/>
      </a:schemeClr>
    </a:solidFill>
    <a:ln w="9525" cap="flat" cmpd="sng" algn="ctr">
      <a:solidFill>
        <a:schemeClr val="tx1">
          <a:lumMod val="15000"/>
          <a:lumOff val="85000"/>
        </a:schemeClr>
      </a:solidFill>
      <a:round/>
    </a:ln>
    <a:effectLst/>
  </c:spPr>
  <c:txPr>
    <a:bodyPr/>
    <a:lstStyle/>
    <a:p>
      <a:pPr>
        <a:defRPr lang="en-US"/>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[Adiele chisom_HP_Nigeria_Sales_Data.xlsx]Table!PivotTable5</c:name>
    <c:fmtId val="2"/>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Monthly</a:t>
            </a:r>
            <a:r>
              <a:rPr lang="en-US" baseline="0"/>
              <a:t> Sales and profit trend</a:t>
            </a:r>
          </a:p>
          <a:p>
            <a:pPr>
              <a:defRPr/>
            </a:pP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Table!$B$57</c:f>
              <c:strCache>
                <c:ptCount val="1"/>
                <c:pt idx="0">
                  <c:v>Sum of Sales</c:v>
                </c:pt>
              </c:strCache>
            </c:strRef>
          </c:tx>
          <c:spPr>
            <a:ln w="28575" cap="rnd">
              <a:solidFill>
                <a:schemeClr val="accent1"/>
              </a:solidFill>
              <a:round/>
            </a:ln>
            <a:effectLst/>
          </c:spPr>
          <c:marker>
            <c:symbol val="none"/>
          </c:marker>
          <c:cat>
            <c:strRef>
              <c:f>Table!$A$58:$A$64</c:f>
              <c:strCache>
                <c:ptCount val="6"/>
                <c:pt idx="0">
                  <c:v>Jan</c:v>
                </c:pt>
                <c:pt idx="1">
                  <c:v>Feb</c:v>
                </c:pt>
                <c:pt idx="2">
                  <c:v>Mar</c:v>
                </c:pt>
                <c:pt idx="3">
                  <c:v>Apr</c:v>
                </c:pt>
                <c:pt idx="4">
                  <c:v>May</c:v>
                </c:pt>
                <c:pt idx="5">
                  <c:v>Jun</c:v>
                </c:pt>
              </c:strCache>
            </c:strRef>
          </c:cat>
          <c:val>
            <c:numRef>
              <c:f>Table!$B$58:$B$64</c:f>
              <c:numCache>
                <c:formatCode>General</c:formatCode>
                <c:ptCount val="6"/>
                <c:pt idx="0">
                  <c:v>27950000</c:v>
                </c:pt>
                <c:pt idx="1">
                  <c:v>29270000</c:v>
                </c:pt>
                <c:pt idx="2">
                  <c:v>17985000</c:v>
                </c:pt>
                <c:pt idx="3">
                  <c:v>10235000</c:v>
                </c:pt>
                <c:pt idx="4">
                  <c:v>8920000</c:v>
                </c:pt>
                <c:pt idx="5">
                  <c:v>5865000</c:v>
                </c:pt>
              </c:numCache>
            </c:numRef>
          </c:val>
          <c:smooth val="0"/>
          <c:extLst>
            <c:ext xmlns:c16="http://schemas.microsoft.com/office/drawing/2014/chart" uri="{C3380CC4-5D6E-409C-BE32-E72D297353CC}">
              <c16:uniqueId val="{00000000-10CE-4A9A-AF27-42D7C50FF457}"/>
            </c:ext>
          </c:extLst>
        </c:ser>
        <c:ser>
          <c:idx val="1"/>
          <c:order val="1"/>
          <c:tx>
            <c:strRef>
              <c:f>Table!$C$57</c:f>
              <c:strCache>
                <c:ptCount val="1"/>
                <c:pt idx="0">
                  <c:v>Sum of profit</c:v>
                </c:pt>
              </c:strCache>
            </c:strRef>
          </c:tx>
          <c:spPr>
            <a:ln w="28575" cap="rnd">
              <a:solidFill>
                <a:schemeClr val="accent2"/>
              </a:solidFill>
              <a:round/>
            </a:ln>
            <a:effectLst/>
          </c:spPr>
          <c:marker>
            <c:symbol val="none"/>
          </c:marker>
          <c:cat>
            <c:strRef>
              <c:f>Table!$A$58:$A$64</c:f>
              <c:strCache>
                <c:ptCount val="6"/>
                <c:pt idx="0">
                  <c:v>Jan</c:v>
                </c:pt>
                <c:pt idx="1">
                  <c:v>Feb</c:v>
                </c:pt>
                <c:pt idx="2">
                  <c:v>Mar</c:v>
                </c:pt>
                <c:pt idx="3">
                  <c:v>Apr</c:v>
                </c:pt>
                <c:pt idx="4">
                  <c:v>May</c:v>
                </c:pt>
                <c:pt idx="5">
                  <c:v>Jun</c:v>
                </c:pt>
              </c:strCache>
            </c:strRef>
          </c:cat>
          <c:val>
            <c:numRef>
              <c:f>Table!$C$58:$C$64</c:f>
              <c:numCache>
                <c:formatCode>General</c:formatCode>
                <c:ptCount val="6"/>
                <c:pt idx="0">
                  <c:v>27871887</c:v>
                </c:pt>
                <c:pt idx="1">
                  <c:v>29161085</c:v>
                </c:pt>
                <c:pt idx="2">
                  <c:v>17924187</c:v>
                </c:pt>
                <c:pt idx="3">
                  <c:v>10169482</c:v>
                </c:pt>
                <c:pt idx="4">
                  <c:v>8862605</c:v>
                </c:pt>
                <c:pt idx="5">
                  <c:v>5839507</c:v>
                </c:pt>
              </c:numCache>
            </c:numRef>
          </c:val>
          <c:smooth val="0"/>
          <c:extLst>
            <c:ext xmlns:c16="http://schemas.microsoft.com/office/drawing/2014/chart" uri="{C3380CC4-5D6E-409C-BE32-E72D297353CC}">
              <c16:uniqueId val="{00000001-10CE-4A9A-AF27-42D7C50FF457}"/>
            </c:ext>
          </c:extLst>
        </c:ser>
        <c:dLbls>
          <c:showLegendKey val="0"/>
          <c:showVal val="0"/>
          <c:showCatName val="0"/>
          <c:showSerName val="0"/>
          <c:showPercent val="0"/>
          <c:showBubbleSize val="0"/>
        </c:dLbls>
        <c:smooth val="0"/>
        <c:axId val="97502368"/>
        <c:axId val="101600816"/>
      </c:lineChart>
      <c:catAx>
        <c:axId val="9750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LID4096"/>
          </a:p>
        </c:txPr>
        <c:crossAx val="101600816"/>
        <c:crosses val="autoZero"/>
        <c:auto val="1"/>
        <c:lblAlgn val="ctr"/>
        <c:lblOffset val="100"/>
        <c:noMultiLvlLbl val="0"/>
      </c:catAx>
      <c:valAx>
        <c:axId val="10160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LID4096"/>
          </a:p>
        </c:txPr>
        <c:crossAx val="9750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uri="{0b15fc19-7d7d-44ad-8c2d-2c3a37ce22c3}">
        <chartProps xmlns="https://web.wps.cn/et/2018/main" chartId="{319a3fec-882e-41f2-a65d-29a03e8e104b}"/>
      </c:ext>
    </c:extLst>
  </c:chart>
  <c:spPr>
    <a:solidFill>
      <a:schemeClr val="tx2">
        <a:lumMod val="10000"/>
        <a:lumOff val="90000"/>
        <a:alpha val="42000"/>
      </a:schemeClr>
    </a:solidFill>
    <a:ln w="9525" cap="flat" cmpd="sng" algn="ctr">
      <a:solidFill>
        <a:schemeClr val="tx1">
          <a:lumMod val="15000"/>
          <a:lumOff val="85000"/>
        </a:schemeClr>
      </a:solidFill>
      <a:round/>
    </a:ln>
    <a:effectLst/>
  </c:spPr>
  <c:txPr>
    <a:bodyPr/>
    <a:lstStyle/>
    <a:p>
      <a:pPr>
        <a:defRPr lang="en-US"/>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[Adiele chisom_HP_Nigeria_Sales_Data.xlsx]Sheet2!PivotTable2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Sheet2!$B$1</c:f>
              <c:strCache>
                <c:ptCount val="1"/>
                <c:pt idx="0">
                  <c:v>Sum of Sales</c:v>
                </c:pt>
              </c:strCache>
            </c:strRef>
          </c:tx>
          <c:spPr>
            <a:solidFill>
              <a:schemeClr val="accent1"/>
            </a:solidFill>
            <a:ln>
              <a:noFill/>
            </a:ln>
            <a:effectLst/>
          </c:spPr>
          <c:invertIfNegative val="0"/>
          <c:cat>
            <c:strRef>
              <c:f>Sheet2!$A$2:$A$6</c:f>
              <c:strCache>
                <c:ptCount val="4"/>
                <c:pt idx="0">
                  <c:v>East</c:v>
                </c:pt>
                <c:pt idx="1">
                  <c:v>North</c:v>
                </c:pt>
                <c:pt idx="2">
                  <c:v>South</c:v>
                </c:pt>
                <c:pt idx="3">
                  <c:v>West</c:v>
                </c:pt>
              </c:strCache>
            </c:strRef>
          </c:cat>
          <c:val>
            <c:numRef>
              <c:f>Sheet2!$B$2:$B$6</c:f>
              <c:numCache>
                <c:formatCode>General</c:formatCode>
                <c:ptCount val="4"/>
                <c:pt idx="0">
                  <c:v>28850000</c:v>
                </c:pt>
                <c:pt idx="1">
                  <c:v>26320000</c:v>
                </c:pt>
                <c:pt idx="2">
                  <c:v>22220000</c:v>
                </c:pt>
                <c:pt idx="3">
                  <c:v>22835000</c:v>
                </c:pt>
              </c:numCache>
            </c:numRef>
          </c:val>
          <c:extLst>
            <c:ext xmlns:c16="http://schemas.microsoft.com/office/drawing/2014/chart" uri="{C3380CC4-5D6E-409C-BE32-E72D297353CC}">
              <c16:uniqueId val="{00000000-D718-4B00-85E2-81AA8A88EBE6}"/>
            </c:ext>
          </c:extLst>
        </c:ser>
        <c:ser>
          <c:idx val="1"/>
          <c:order val="1"/>
          <c:tx>
            <c:strRef>
              <c:f>Sheet2!$C$1</c:f>
              <c:strCache>
                <c:ptCount val="1"/>
                <c:pt idx="0">
                  <c:v>Sum of profit</c:v>
                </c:pt>
              </c:strCache>
            </c:strRef>
          </c:tx>
          <c:spPr>
            <a:solidFill>
              <a:schemeClr val="accent2"/>
            </a:solidFill>
            <a:ln>
              <a:noFill/>
            </a:ln>
            <a:effectLst/>
          </c:spPr>
          <c:invertIfNegative val="0"/>
          <c:cat>
            <c:strRef>
              <c:f>Sheet2!$A$2:$A$6</c:f>
              <c:strCache>
                <c:ptCount val="4"/>
                <c:pt idx="0">
                  <c:v>East</c:v>
                </c:pt>
                <c:pt idx="1">
                  <c:v>North</c:v>
                </c:pt>
                <c:pt idx="2">
                  <c:v>South</c:v>
                </c:pt>
                <c:pt idx="3">
                  <c:v>West</c:v>
                </c:pt>
              </c:strCache>
            </c:strRef>
          </c:cat>
          <c:val>
            <c:numRef>
              <c:f>Sheet2!$C$2:$C$6</c:f>
              <c:numCache>
                <c:formatCode>General</c:formatCode>
                <c:ptCount val="4"/>
                <c:pt idx="0">
                  <c:v>28765605</c:v>
                </c:pt>
                <c:pt idx="1">
                  <c:v>26212554</c:v>
                </c:pt>
                <c:pt idx="2">
                  <c:v>22145162</c:v>
                </c:pt>
                <c:pt idx="3">
                  <c:v>22705432</c:v>
                </c:pt>
              </c:numCache>
            </c:numRef>
          </c:val>
          <c:extLst>
            <c:ext xmlns:c16="http://schemas.microsoft.com/office/drawing/2014/chart" uri="{C3380CC4-5D6E-409C-BE32-E72D297353CC}">
              <c16:uniqueId val="{00000001-D718-4B00-85E2-81AA8A88EBE6}"/>
            </c:ext>
          </c:extLst>
        </c:ser>
        <c:dLbls>
          <c:showLegendKey val="0"/>
          <c:showVal val="0"/>
          <c:showCatName val="0"/>
          <c:showSerName val="0"/>
          <c:showPercent val="0"/>
          <c:showBubbleSize val="0"/>
        </c:dLbls>
        <c:gapWidth val="219"/>
        <c:overlap val="-27"/>
        <c:axId val="751911104"/>
        <c:axId val="724487248"/>
      </c:barChart>
      <c:catAx>
        <c:axId val="75191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4487248"/>
        <c:crosses val="autoZero"/>
        <c:auto val="1"/>
        <c:lblAlgn val="ctr"/>
        <c:lblOffset val="100"/>
        <c:noMultiLvlLbl val="0"/>
      </c:catAx>
      <c:valAx>
        <c:axId val="724487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519111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alpha val="27000"/>
      </a:schemeClr>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[Adiele chisom_HP_Nigeria_Sales_Data.xlsx]Sheet2!PivotTable3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Sheet2!$D$18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Sheet2!$C$19:$C$20</c:f>
              <c:strCache>
                <c:ptCount val="1"/>
                <c:pt idx="0">
                  <c:v>Musa</c:v>
                </c:pt>
              </c:strCache>
            </c:strRef>
          </c:cat>
          <c:val>
            <c:numRef>
              <c:f>Sheet2!$D$19:$D$20</c:f>
              <c:numCache>
                <c:formatCode>General</c:formatCode>
                <c:ptCount val="1"/>
                <c:pt idx="0">
                  <c:v>1147418</c:v>
                </c:pt>
              </c:numCache>
            </c:numRef>
          </c:val>
          <c:extLst>
            <c:ext xmlns:c16="http://schemas.microsoft.com/office/drawing/2014/chart" uri="{C3380CC4-5D6E-409C-BE32-E72D297353CC}">
              <c16:uniqueId val="{00000000-5412-4BA6-BFD0-CEF120EFD2E1}"/>
            </c:ext>
          </c:extLst>
        </c:ser>
        <c:dLbls>
          <c:dLblPos val="outEnd"/>
          <c:showLegendKey val="0"/>
          <c:showVal val="1"/>
          <c:showCatName val="0"/>
          <c:showSerName val="0"/>
          <c:showPercent val="0"/>
          <c:showBubbleSize val="0"/>
        </c:dLbls>
        <c:gapWidth val="219"/>
        <c:axId val="616765120"/>
        <c:axId val="724518448"/>
      </c:barChart>
      <c:catAx>
        <c:axId val="61676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4518448"/>
        <c:crosses val="autoZero"/>
        <c:auto val="1"/>
        <c:lblAlgn val="ctr"/>
        <c:lblOffset val="100"/>
        <c:noMultiLvlLbl val="0"/>
      </c:catAx>
      <c:valAx>
        <c:axId val="724518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167651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LID4096"/>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alpha val="72000"/>
      </a:schemeClr>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[Adiele chisom_HP_Nigeria_Sales_Data.xlsx]Sheet2!PivotTable4</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Sheet2!$C$35:$C$36</c:f>
              <c:strCache>
                <c:ptCount val="1"/>
                <c:pt idx="0">
                  <c:v>Headset</c:v>
                </c:pt>
              </c:strCache>
            </c:strRef>
          </c:tx>
          <c:spPr>
            <a:solidFill>
              <a:schemeClr val="accent1"/>
            </a:solidFill>
            <a:ln>
              <a:noFill/>
            </a:ln>
            <a:effectLst/>
          </c:spPr>
          <c:invertIfNegative val="0"/>
          <c:cat>
            <c:strRef>
              <c:f>Sheet2!$B$37:$B$41</c:f>
              <c:strCache>
                <c:ptCount val="4"/>
                <c:pt idx="0">
                  <c:v>East</c:v>
                </c:pt>
                <c:pt idx="1">
                  <c:v>North</c:v>
                </c:pt>
                <c:pt idx="2">
                  <c:v>South</c:v>
                </c:pt>
                <c:pt idx="3">
                  <c:v>West</c:v>
                </c:pt>
              </c:strCache>
            </c:strRef>
          </c:cat>
          <c:val>
            <c:numRef>
              <c:f>Sheet2!$C$37:$C$41</c:f>
              <c:numCache>
                <c:formatCode>General</c:formatCode>
                <c:ptCount val="4"/>
                <c:pt idx="0">
                  <c:v>7267470</c:v>
                </c:pt>
                <c:pt idx="1">
                  <c:v>1341923</c:v>
                </c:pt>
                <c:pt idx="2">
                  <c:v>9283850</c:v>
                </c:pt>
                <c:pt idx="3">
                  <c:v>1537407</c:v>
                </c:pt>
              </c:numCache>
            </c:numRef>
          </c:val>
          <c:extLst>
            <c:ext xmlns:c16="http://schemas.microsoft.com/office/drawing/2014/chart" uri="{C3380CC4-5D6E-409C-BE32-E72D297353CC}">
              <c16:uniqueId val="{00000000-19A3-4234-AF98-C7996E3F88CB}"/>
            </c:ext>
          </c:extLst>
        </c:ser>
        <c:ser>
          <c:idx val="1"/>
          <c:order val="1"/>
          <c:tx>
            <c:strRef>
              <c:f>Sheet2!$D$35:$D$36</c:f>
              <c:strCache>
                <c:ptCount val="1"/>
                <c:pt idx="0">
                  <c:v>Keyboard</c:v>
                </c:pt>
              </c:strCache>
            </c:strRef>
          </c:tx>
          <c:spPr>
            <a:solidFill>
              <a:schemeClr val="accent2"/>
            </a:solidFill>
            <a:ln>
              <a:noFill/>
            </a:ln>
            <a:effectLst/>
          </c:spPr>
          <c:invertIfNegative val="0"/>
          <c:cat>
            <c:strRef>
              <c:f>Sheet2!$B$37:$B$41</c:f>
              <c:strCache>
                <c:ptCount val="4"/>
                <c:pt idx="0">
                  <c:v>East</c:v>
                </c:pt>
                <c:pt idx="1">
                  <c:v>North</c:v>
                </c:pt>
                <c:pt idx="2">
                  <c:v>South</c:v>
                </c:pt>
                <c:pt idx="3">
                  <c:v>West</c:v>
                </c:pt>
              </c:strCache>
            </c:strRef>
          </c:cat>
          <c:val>
            <c:numRef>
              <c:f>Sheet2!$D$37:$D$41</c:f>
              <c:numCache>
                <c:formatCode>General</c:formatCode>
                <c:ptCount val="4"/>
                <c:pt idx="0">
                  <c:v>83718</c:v>
                </c:pt>
                <c:pt idx="1">
                  <c:v>6748104</c:v>
                </c:pt>
                <c:pt idx="2">
                  <c:v>4324700</c:v>
                </c:pt>
                <c:pt idx="3">
                  <c:v>1333051</c:v>
                </c:pt>
              </c:numCache>
            </c:numRef>
          </c:val>
          <c:extLst>
            <c:ext xmlns:c16="http://schemas.microsoft.com/office/drawing/2014/chart" uri="{C3380CC4-5D6E-409C-BE32-E72D297353CC}">
              <c16:uniqueId val="{00000001-19A3-4234-AF98-C7996E3F88CB}"/>
            </c:ext>
          </c:extLst>
        </c:ser>
        <c:ser>
          <c:idx val="2"/>
          <c:order val="2"/>
          <c:tx>
            <c:strRef>
              <c:f>Sheet2!$E$35:$E$36</c:f>
              <c:strCache>
                <c:ptCount val="1"/>
                <c:pt idx="0">
                  <c:v>Laptop</c:v>
                </c:pt>
              </c:strCache>
            </c:strRef>
          </c:tx>
          <c:spPr>
            <a:solidFill>
              <a:schemeClr val="accent3"/>
            </a:solidFill>
            <a:ln>
              <a:noFill/>
            </a:ln>
            <a:effectLst/>
          </c:spPr>
          <c:invertIfNegative val="0"/>
          <c:cat>
            <c:strRef>
              <c:f>Sheet2!$B$37:$B$41</c:f>
              <c:strCache>
                <c:ptCount val="4"/>
                <c:pt idx="0">
                  <c:v>East</c:v>
                </c:pt>
                <c:pt idx="1">
                  <c:v>North</c:v>
                </c:pt>
                <c:pt idx="2">
                  <c:v>South</c:v>
                </c:pt>
                <c:pt idx="3">
                  <c:v>West</c:v>
                </c:pt>
              </c:strCache>
            </c:strRef>
          </c:cat>
          <c:val>
            <c:numRef>
              <c:f>Sheet2!$E$37:$E$41</c:f>
              <c:numCache>
                <c:formatCode>General</c:formatCode>
                <c:ptCount val="4"/>
                <c:pt idx="0">
                  <c:v>4144486</c:v>
                </c:pt>
                <c:pt idx="1">
                  <c:v>6177789</c:v>
                </c:pt>
                <c:pt idx="2">
                  <c:v>330636</c:v>
                </c:pt>
                <c:pt idx="3">
                  <c:v>4073218</c:v>
                </c:pt>
              </c:numCache>
            </c:numRef>
          </c:val>
          <c:extLst>
            <c:ext xmlns:c16="http://schemas.microsoft.com/office/drawing/2014/chart" uri="{C3380CC4-5D6E-409C-BE32-E72D297353CC}">
              <c16:uniqueId val="{00000002-19A3-4234-AF98-C7996E3F88CB}"/>
            </c:ext>
          </c:extLst>
        </c:ser>
        <c:ser>
          <c:idx val="3"/>
          <c:order val="3"/>
          <c:tx>
            <c:strRef>
              <c:f>Sheet2!$F$35:$F$36</c:f>
              <c:strCache>
                <c:ptCount val="1"/>
                <c:pt idx="0">
                  <c:v>Monitor</c:v>
                </c:pt>
              </c:strCache>
            </c:strRef>
          </c:tx>
          <c:spPr>
            <a:solidFill>
              <a:schemeClr val="accent4"/>
            </a:solidFill>
            <a:ln>
              <a:noFill/>
            </a:ln>
            <a:effectLst/>
          </c:spPr>
          <c:invertIfNegative val="0"/>
          <c:cat>
            <c:strRef>
              <c:f>Sheet2!$B$37:$B$41</c:f>
              <c:strCache>
                <c:ptCount val="4"/>
                <c:pt idx="0">
                  <c:v>East</c:v>
                </c:pt>
                <c:pt idx="1">
                  <c:v>North</c:v>
                </c:pt>
                <c:pt idx="2">
                  <c:v>South</c:v>
                </c:pt>
                <c:pt idx="3">
                  <c:v>West</c:v>
                </c:pt>
              </c:strCache>
            </c:strRef>
          </c:cat>
          <c:val>
            <c:numRef>
              <c:f>Sheet2!$F$37:$F$41</c:f>
              <c:numCache>
                <c:formatCode>General</c:formatCode>
                <c:ptCount val="4"/>
                <c:pt idx="0">
                  <c:v>4959673</c:v>
                </c:pt>
                <c:pt idx="1">
                  <c:v>1494274</c:v>
                </c:pt>
                <c:pt idx="2">
                  <c:v>3353468</c:v>
                </c:pt>
                <c:pt idx="3">
                  <c:v>3692138</c:v>
                </c:pt>
              </c:numCache>
            </c:numRef>
          </c:val>
          <c:extLst>
            <c:ext xmlns:c16="http://schemas.microsoft.com/office/drawing/2014/chart" uri="{C3380CC4-5D6E-409C-BE32-E72D297353CC}">
              <c16:uniqueId val="{00000003-19A3-4234-AF98-C7996E3F88CB}"/>
            </c:ext>
          </c:extLst>
        </c:ser>
        <c:ser>
          <c:idx val="4"/>
          <c:order val="4"/>
          <c:tx>
            <c:strRef>
              <c:f>Sheet2!$G$35:$G$36</c:f>
              <c:strCache>
                <c:ptCount val="1"/>
                <c:pt idx="0">
                  <c:v>Mouse</c:v>
                </c:pt>
              </c:strCache>
            </c:strRef>
          </c:tx>
          <c:spPr>
            <a:solidFill>
              <a:schemeClr val="accent5"/>
            </a:solidFill>
            <a:ln>
              <a:noFill/>
            </a:ln>
            <a:effectLst/>
          </c:spPr>
          <c:invertIfNegative val="0"/>
          <c:cat>
            <c:strRef>
              <c:f>Sheet2!$B$37:$B$41</c:f>
              <c:strCache>
                <c:ptCount val="4"/>
                <c:pt idx="0">
                  <c:v>East</c:v>
                </c:pt>
                <c:pt idx="1">
                  <c:v>North</c:v>
                </c:pt>
                <c:pt idx="2">
                  <c:v>South</c:v>
                </c:pt>
                <c:pt idx="3">
                  <c:v>West</c:v>
                </c:pt>
              </c:strCache>
            </c:strRef>
          </c:cat>
          <c:val>
            <c:numRef>
              <c:f>Sheet2!$G$37:$G$41</c:f>
              <c:numCache>
                <c:formatCode>General</c:formatCode>
                <c:ptCount val="4"/>
                <c:pt idx="0">
                  <c:v>2800837</c:v>
                </c:pt>
                <c:pt idx="1">
                  <c:v>9991611</c:v>
                </c:pt>
                <c:pt idx="2">
                  <c:v>131469</c:v>
                </c:pt>
                <c:pt idx="3">
                  <c:v>8668200</c:v>
                </c:pt>
              </c:numCache>
            </c:numRef>
          </c:val>
          <c:extLst>
            <c:ext xmlns:c16="http://schemas.microsoft.com/office/drawing/2014/chart" uri="{C3380CC4-5D6E-409C-BE32-E72D297353CC}">
              <c16:uniqueId val="{00000004-19A3-4234-AF98-C7996E3F88CB}"/>
            </c:ext>
          </c:extLst>
        </c:ser>
        <c:ser>
          <c:idx val="5"/>
          <c:order val="5"/>
          <c:tx>
            <c:strRef>
              <c:f>Sheet2!$H$35:$H$36</c:f>
              <c:strCache>
                <c:ptCount val="1"/>
                <c:pt idx="0">
                  <c:v>Printer</c:v>
                </c:pt>
              </c:strCache>
            </c:strRef>
          </c:tx>
          <c:spPr>
            <a:solidFill>
              <a:schemeClr val="accent6"/>
            </a:solidFill>
            <a:ln>
              <a:noFill/>
            </a:ln>
            <a:effectLst/>
          </c:spPr>
          <c:invertIfNegative val="0"/>
          <c:cat>
            <c:strRef>
              <c:f>Sheet2!$B$37:$B$41</c:f>
              <c:strCache>
                <c:ptCount val="4"/>
                <c:pt idx="0">
                  <c:v>East</c:v>
                </c:pt>
                <c:pt idx="1">
                  <c:v>North</c:v>
                </c:pt>
                <c:pt idx="2">
                  <c:v>South</c:v>
                </c:pt>
                <c:pt idx="3">
                  <c:v>West</c:v>
                </c:pt>
              </c:strCache>
            </c:strRef>
          </c:cat>
          <c:val>
            <c:numRef>
              <c:f>Sheet2!$H$37:$H$41</c:f>
              <c:numCache>
                <c:formatCode>General</c:formatCode>
                <c:ptCount val="4"/>
                <c:pt idx="0">
                  <c:v>9509421</c:v>
                </c:pt>
                <c:pt idx="1">
                  <c:v>458853</c:v>
                </c:pt>
                <c:pt idx="2">
                  <c:v>4721039</c:v>
                </c:pt>
                <c:pt idx="3">
                  <c:v>3401418</c:v>
                </c:pt>
              </c:numCache>
            </c:numRef>
          </c:val>
          <c:extLst>
            <c:ext xmlns:c16="http://schemas.microsoft.com/office/drawing/2014/chart" uri="{C3380CC4-5D6E-409C-BE32-E72D297353CC}">
              <c16:uniqueId val="{00000005-19A3-4234-AF98-C7996E3F88CB}"/>
            </c:ext>
          </c:extLst>
        </c:ser>
        <c:dLbls>
          <c:showLegendKey val="0"/>
          <c:showVal val="0"/>
          <c:showCatName val="0"/>
          <c:showSerName val="0"/>
          <c:showPercent val="0"/>
          <c:showBubbleSize val="0"/>
        </c:dLbls>
        <c:gapWidth val="219"/>
        <c:overlap val="100"/>
        <c:axId val="746438576"/>
        <c:axId val="454042704"/>
      </c:barChart>
      <c:catAx>
        <c:axId val="74643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454042704"/>
        <c:crosses val="autoZero"/>
        <c:auto val="1"/>
        <c:lblAlgn val="ctr"/>
        <c:lblOffset val="100"/>
        <c:noMultiLvlLbl val="0"/>
      </c:catAx>
      <c:valAx>
        <c:axId val="45404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4643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alpha val="21000"/>
      </a:schemeClr>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[Adiele chisom_HP_Nigeria_Sales_Data.xlsx]Sheet2!PivotTable5</c:name>
    <c:fmtId val="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91426071741029"/>
          <c:y val="0.25690981335666374"/>
          <c:w val="0.59409886264216971"/>
          <c:h val="0.65890128317293672"/>
        </c:manualLayout>
      </c:layout>
      <c:lineChart>
        <c:grouping val="standard"/>
        <c:varyColors val="0"/>
        <c:ser>
          <c:idx val="0"/>
          <c:order val="0"/>
          <c:tx>
            <c:strRef>
              <c:f>Sheet2!$C$60</c:f>
              <c:strCache>
                <c:ptCount val="1"/>
                <c:pt idx="0">
                  <c:v>Sum of Sales</c:v>
                </c:pt>
              </c:strCache>
            </c:strRef>
          </c:tx>
          <c:spPr>
            <a:ln w="28575" cap="rnd">
              <a:solidFill>
                <a:schemeClr val="accent1"/>
              </a:solidFill>
              <a:round/>
            </a:ln>
            <a:effectLst/>
          </c:spPr>
          <c:marker>
            <c:symbol val="none"/>
          </c:marker>
          <c:cat>
            <c:strRef>
              <c:f>Sheet2!$B$61:$B$67</c:f>
              <c:strCache>
                <c:ptCount val="6"/>
                <c:pt idx="0">
                  <c:v>Jan</c:v>
                </c:pt>
                <c:pt idx="1">
                  <c:v>Feb</c:v>
                </c:pt>
                <c:pt idx="2">
                  <c:v>Mar</c:v>
                </c:pt>
                <c:pt idx="3">
                  <c:v>Apr</c:v>
                </c:pt>
                <c:pt idx="4">
                  <c:v>May</c:v>
                </c:pt>
                <c:pt idx="5">
                  <c:v>Jun</c:v>
                </c:pt>
              </c:strCache>
            </c:strRef>
          </c:cat>
          <c:val>
            <c:numRef>
              <c:f>Sheet2!$C$61:$C$67</c:f>
              <c:numCache>
                <c:formatCode>General</c:formatCode>
                <c:ptCount val="6"/>
                <c:pt idx="0">
                  <c:v>27950000</c:v>
                </c:pt>
                <c:pt idx="1">
                  <c:v>29270000</c:v>
                </c:pt>
                <c:pt idx="2">
                  <c:v>17985000</c:v>
                </c:pt>
                <c:pt idx="3">
                  <c:v>10235000</c:v>
                </c:pt>
                <c:pt idx="4">
                  <c:v>8920000</c:v>
                </c:pt>
                <c:pt idx="5">
                  <c:v>5865000</c:v>
                </c:pt>
              </c:numCache>
            </c:numRef>
          </c:val>
          <c:smooth val="0"/>
          <c:extLst>
            <c:ext xmlns:c16="http://schemas.microsoft.com/office/drawing/2014/chart" uri="{C3380CC4-5D6E-409C-BE32-E72D297353CC}">
              <c16:uniqueId val="{00000000-AC91-4920-B99F-2DD30A17D9A5}"/>
            </c:ext>
          </c:extLst>
        </c:ser>
        <c:ser>
          <c:idx val="1"/>
          <c:order val="1"/>
          <c:tx>
            <c:strRef>
              <c:f>Sheet2!$D$60</c:f>
              <c:strCache>
                <c:ptCount val="1"/>
                <c:pt idx="0">
                  <c:v>Sum of profit</c:v>
                </c:pt>
              </c:strCache>
            </c:strRef>
          </c:tx>
          <c:spPr>
            <a:ln w="28575" cap="rnd">
              <a:solidFill>
                <a:schemeClr val="accent2"/>
              </a:solidFill>
              <a:round/>
            </a:ln>
            <a:effectLst/>
          </c:spPr>
          <c:marker>
            <c:symbol val="none"/>
          </c:marker>
          <c:cat>
            <c:strRef>
              <c:f>Sheet2!$B$61:$B$67</c:f>
              <c:strCache>
                <c:ptCount val="6"/>
                <c:pt idx="0">
                  <c:v>Jan</c:v>
                </c:pt>
                <c:pt idx="1">
                  <c:v>Feb</c:v>
                </c:pt>
                <c:pt idx="2">
                  <c:v>Mar</c:v>
                </c:pt>
                <c:pt idx="3">
                  <c:v>Apr</c:v>
                </c:pt>
                <c:pt idx="4">
                  <c:v>May</c:v>
                </c:pt>
                <c:pt idx="5">
                  <c:v>Jun</c:v>
                </c:pt>
              </c:strCache>
            </c:strRef>
          </c:cat>
          <c:val>
            <c:numRef>
              <c:f>Sheet2!$D$61:$D$67</c:f>
              <c:numCache>
                <c:formatCode>General</c:formatCode>
                <c:ptCount val="6"/>
                <c:pt idx="0">
                  <c:v>27871887</c:v>
                </c:pt>
                <c:pt idx="1">
                  <c:v>29161085</c:v>
                </c:pt>
                <c:pt idx="2">
                  <c:v>17924187</c:v>
                </c:pt>
                <c:pt idx="3">
                  <c:v>10169482</c:v>
                </c:pt>
                <c:pt idx="4">
                  <c:v>8862605</c:v>
                </c:pt>
                <c:pt idx="5">
                  <c:v>5839507</c:v>
                </c:pt>
              </c:numCache>
            </c:numRef>
          </c:val>
          <c:smooth val="0"/>
          <c:extLst>
            <c:ext xmlns:c16="http://schemas.microsoft.com/office/drawing/2014/chart" uri="{C3380CC4-5D6E-409C-BE32-E72D297353CC}">
              <c16:uniqueId val="{00000001-AC91-4920-B99F-2DD30A17D9A5}"/>
            </c:ext>
          </c:extLst>
        </c:ser>
        <c:dLbls>
          <c:showLegendKey val="0"/>
          <c:showVal val="0"/>
          <c:showCatName val="0"/>
          <c:showSerName val="0"/>
          <c:showPercent val="0"/>
          <c:showBubbleSize val="0"/>
        </c:dLbls>
        <c:smooth val="0"/>
        <c:axId val="744410880"/>
        <c:axId val="724505488"/>
      </c:lineChart>
      <c:catAx>
        <c:axId val="74441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24505488"/>
        <c:crosses val="autoZero"/>
        <c:auto val="1"/>
        <c:lblAlgn val="ctr"/>
        <c:lblOffset val="100"/>
        <c:noMultiLvlLbl val="0"/>
      </c:catAx>
      <c:valAx>
        <c:axId val="72450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74441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alpha val="87000"/>
      </a:srgbClr>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1.jpeg"/><Relationship Id="rId1" Type="http://schemas.openxmlformats.org/officeDocument/2006/relationships/image" Target="../media/image3.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341185</xdr:rowOff>
    </xdr:from>
    <xdr:to>
      <xdr:col>21</xdr:col>
      <xdr:colOff>202046</xdr:colOff>
      <xdr:row>40</xdr:row>
      <xdr:rowOff>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523988"/>
          <a:ext cx="14835910" cy="6586088"/>
        </a:xfrm>
        <a:prstGeom prst="rect">
          <a:avLst/>
        </a:prstGeom>
      </xdr:spPr>
    </xdr:pic>
    <xdr:clientData/>
  </xdr:twoCellAnchor>
  <xdr:twoCellAnchor editAs="oneCell">
    <xdr:from>
      <xdr:col>0</xdr:col>
      <xdr:colOff>0</xdr:colOff>
      <xdr:row>0</xdr:row>
      <xdr:rowOff>0</xdr:rowOff>
    </xdr:from>
    <xdr:to>
      <xdr:col>3</xdr:col>
      <xdr:colOff>412075</xdr:colOff>
      <xdr:row>3</xdr:row>
      <xdr:rowOff>13511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a14:imgEffect>
                    <a14:colorTemperature colorTemp="4700"/>
                  </a14:imgEffect>
                </a14:imgLayer>
              </a14:imgProps>
            </a:ext>
          </a:extLst>
        </a:blip>
        <a:stretch>
          <a:fillRect/>
        </a:stretch>
      </xdr:blipFill>
      <xdr:spPr>
        <a:xfrm>
          <a:off x="0" y="0"/>
          <a:ext cx="2240280" cy="724535"/>
        </a:xfrm>
        <a:prstGeom prst="rect">
          <a:avLst/>
        </a:prstGeom>
      </xdr:spPr>
    </xdr:pic>
    <xdr:clientData/>
  </xdr:twoCellAnchor>
  <xdr:twoCellAnchor>
    <xdr:from>
      <xdr:col>2</xdr:col>
      <xdr:colOff>328321</xdr:colOff>
      <xdr:row>9</xdr:row>
      <xdr:rowOff>86650</xdr:rowOff>
    </xdr:from>
    <xdr:to>
      <xdr:col>10</xdr:col>
      <xdr:colOff>57382</xdr:colOff>
      <xdr:row>24</xdr:row>
      <xdr:rowOff>55436</xdr:rowOff>
    </xdr:to>
    <xdr:graphicFrame macro="">
      <xdr:nvGraphicFramePr>
        <xdr:cNvPr id="4" name="Chart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448876</xdr:colOff>
      <xdr:row>8</xdr:row>
      <xdr:rowOff>60884</xdr:rowOff>
    </xdr:from>
    <xdr:to>
      <xdr:col>15</xdr:col>
      <xdr:colOff>96875</xdr:colOff>
      <xdr:row>23</xdr:row>
      <xdr:rowOff>26948</xdr:rowOff>
    </xdr:to>
    <xdr:graphicFrame macro="">
      <xdr:nvGraphicFramePr>
        <xdr:cNvPr id="5" name="Chart 2">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446216</xdr:colOff>
      <xdr:row>23</xdr:row>
      <xdr:rowOff>65248</xdr:rowOff>
    </xdr:from>
    <xdr:to>
      <xdr:col>10</xdr:col>
      <xdr:colOff>156227</xdr:colOff>
      <xdr:row>38</xdr:row>
      <xdr:rowOff>72544</xdr:rowOff>
    </xdr:to>
    <xdr:graphicFrame macro="">
      <xdr:nvGraphicFramePr>
        <xdr:cNvPr id="6" name="Chart 3">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486788</xdr:colOff>
      <xdr:row>22</xdr:row>
      <xdr:rowOff>155117</xdr:rowOff>
    </xdr:from>
    <xdr:to>
      <xdr:col>15</xdr:col>
      <xdr:colOff>113896</xdr:colOff>
      <xdr:row>37</xdr:row>
      <xdr:rowOff>162413</xdr:rowOff>
    </xdr:to>
    <xdr:graphicFrame macro="">
      <xdr:nvGraphicFramePr>
        <xdr:cNvPr id="7" name="Chart 4">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15</xdr:col>
      <xdr:colOff>144319</xdr:colOff>
      <xdr:row>4</xdr:row>
      <xdr:rowOff>6755</xdr:rowOff>
    </xdr:from>
    <xdr:ext cx="2080024" cy="2829804"/>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11193145" y="895350"/>
          <a:ext cx="2079625" cy="2830195"/>
        </a:xfrm>
        <a:prstGeom prst="rect">
          <a:avLst/>
        </a:prstGeom>
        <a:solidFill>
          <a:schemeClr val="tx2">
            <a:lumMod val="10000"/>
            <a:lumOff val="90000"/>
            <a:alpha val="42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1)Sales</a:t>
          </a:r>
          <a:r>
            <a:rPr lang="en-US" sz="1100" b="1" baseline="0"/>
            <a:t> by region</a:t>
          </a:r>
        </a:p>
        <a:p>
          <a:r>
            <a:rPr lang="en-US" sz="1100" b="1" baseline="0"/>
            <a:t>East recorded the highest</a:t>
          </a:r>
        </a:p>
        <a:p>
          <a:r>
            <a:rPr lang="en-US" sz="1100" b="1" baseline="0"/>
            <a:t>2)Salesperson by profit-these  three salesperson made the highest sales profit.</a:t>
          </a:r>
        </a:p>
        <a:p>
          <a:r>
            <a:rPr lang="en-US" sz="1100" b="1" baseline="0"/>
            <a:t>Efe</a:t>
          </a:r>
        </a:p>
        <a:p>
          <a:r>
            <a:rPr lang="en-US" sz="1100" b="1" baseline="0"/>
            <a:t>Musa</a:t>
          </a:r>
        </a:p>
        <a:p>
          <a:r>
            <a:rPr lang="en-US" sz="1100" b="1" baseline="0"/>
            <a:t>Chiidi</a:t>
          </a:r>
        </a:p>
        <a:p>
          <a:r>
            <a:rPr lang="en-US" sz="1100" b="1" baseline="0"/>
            <a:t>3) Sales by product- mouse  contributed significantly  to sales.</a:t>
          </a:r>
        </a:p>
        <a:p>
          <a:r>
            <a:rPr lang="en-US" sz="1100" b="1" baseline="0"/>
            <a:t>4)Monthly sales and profit trend- sales and profit were  highest in january and february,then declined steadily from march through june.profit followed a similar pattern to sales.</a:t>
          </a:r>
        </a:p>
        <a:p>
          <a:endParaRPr lang="en-US" sz="1100" baseline="0"/>
        </a:p>
        <a:p>
          <a:endParaRPr lang="en-US" sz="1100"/>
        </a:p>
      </xdr:txBody>
    </xdr:sp>
    <xdr:clientData/>
  </xdr:oneCellAnchor>
  <xdr:twoCellAnchor editAs="oneCell">
    <xdr:from>
      <xdr:col>0</xdr:col>
      <xdr:colOff>0</xdr:colOff>
      <xdr:row>3</xdr:row>
      <xdr:rowOff>141862</xdr:rowOff>
    </xdr:from>
    <xdr:to>
      <xdr:col>2</xdr:col>
      <xdr:colOff>114841</xdr:colOff>
      <xdr:row>14</xdr:row>
      <xdr:rowOff>128351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r="http://schemas.openxmlformats.org/officeDocument/2006/relationships" xmlns="">
        <xdr:sp macro="" textlink="">
          <xdr:nvSpPr>
            <xdr:cNvPr id="0" name=""/>
            <xdr:cNvSpPr>
              <a:spLocks noTextEdit="1"/>
            </xdr:cNvSpPr>
          </xdr:nvSpPr>
          <xdr:spPr>
            <a:xfrm>
              <a:off x="0" y="852805"/>
              <a:ext cx="1333500" cy="194246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0</xdr:colOff>
      <xdr:row>27</xdr:row>
      <xdr:rowOff>175639</xdr:rowOff>
    </xdr:from>
    <xdr:to>
      <xdr:col>2</xdr:col>
      <xdr:colOff>135107</xdr:colOff>
      <xdr:row>39</xdr:row>
      <xdr:rowOff>27020</xdr:rowOff>
    </xdr:to>
    <mc:AlternateContent xmlns:mc="http://schemas.openxmlformats.org/markup-compatibility/2006" xmlns:a14="http://schemas.microsoft.com/office/drawing/2010/main">
      <mc:Choice Requires="a14">
        <xdr:graphicFrame macro="">
          <xdr:nvGraphicFramePr>
            <xdr:cNvPr id="10" name="Salesperson">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r="http://schemas.openxmlformats.org/officeDocument/2006/relationships" xmlns="">
        <xdr:sp macro="" textlink="">
          <xdr:nvSpPr>
            <xdr:cNvPr id="0" name=""/>
            <xdr:cNvSpPr>
              <a:spLocks noTextEdit="1"/>
            </xdr:cNvSpPr>
          </xdr:nvSpPr>
          <xdr:spPr>
            <a:xfrm>
              <a:off x="0" y="5153660"/>
              <a:ext cx="1353820" cy="198501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editAs="oneCell">
    <xdr:from>
      <xdr:col>0</xdr:col>
      <xdr:colOff>1</xdr:colOff>
      <xdr:row>14</xdr:row>
      <xdr:rowOff>175639</xdr:rowOff>
    </xdr:from>
    <xdr:to>
      <xdr:col>1</xdr:col>
      <xdr:colOff>594468</xdr:colOff>
      <xdr:row>27</xdr:row>
      <xdr:rowOff>114841</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r="http://schemas.openxmlformats.org/officeDocument/2006/relationships" xmlns="">
        <xdr:sp macro="" textlink="">
          <xdr:nvSpPr>
            <xdr:cNvPr id="0" name=""/>
            <xdr:cNvSpPr>
              <a:spLocks noTextEdit="1"/>
            </xdr:cNvSpPr>
          </xdr:nvSpPr>
          <xdr:spPr>
            <a:xfrm>
              <a:off x="0" y="2842260"/>
              <a:ext cx="1203960" cy="225044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2</xdr:col>
      <xdr:colOff>413712</xdr:colOff>
      <xdr:row>3</xdr:row>
      <xdr:rowOff>38485</xdr:rowOff>
    </xdr:from>
    <xdr:to>
      <xdr:col>6</xdr:col>
      <xdr:colOff>76970</xdr:colOff>
      <xdr:row>8</xdr:row>
      <xdr:rowOff>163561</xdr:rowOff>
    </xdr:to>
    <xdr:sp macro="" textlink="HP_Nigeria_Sales_Data.xlsx!K2">
      <xdr:nvSpPr>
        <xdr:cNvPr id="12" name="Rectangle 11">
          <a:extLst>
            <a:ext uri="{FF2B5EF4-FFF2-40B4-BE49-F238E27FC236}">
              <a16:creationId xmlns:a16="http://schemas.microsoft.com/office/drawing/2014/main" id="{00000000-0008-0000-0000-00000C000000}"/>
            </a:ext>
          </a:extLst>
        </xdr:cNvPr>
        <xdr:cNvSpPr/>
      </xdr:nvSpPr>
      <xdr:spPr>
        <a:xfrm>
          <a:off x="1632585" y="749300"/>
          <a:ext cx="2101850" cy="10140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02DF27-6DD9-41B9-8938-C6894E705D62}" type="TxLink">
            <a:rPr lang="en-US" sz="1600" b="0" i="0" u="none" strike="noStrike">
              <a:solidFill>
                <a:srgbClr val="000000"/>
              </a:solidFill>
              <a:latin typeface="Aptos Narrow"/>
            </a:rPr>
            <a:pPr algn="ctr"/>
            <a:t> </a:t>
          </a:fld>
          <a:endParaRPr lang="en-US" sz="1600"/>
        </a:p>
      </xdr:txBody>
    </xdr:sp>
    <xdr:clientData/>
  </xdr:twoCellAnchor>
  <xdr:oneCellAnchor>
    <xdr:from>
      <xdr:col>3</xdr:col>
      <xdr:colOff>240530</xdr:colOff>
      <xdr:row>3</xdr:row>
      <xdr:rowOff>19243</xdr:rowOff>
    </xdr:from>
    <xdr:ext cx="1067954" cy="253422"/>
    <xdr:sp macro="" textlink="">
      <xdr:nvSpPr>
        <xdr:cNvPr id="14" name="TextBox 13">
          <a:extLst>
            <a:ext uri="{FF2B5EF4-FFF2-40B4-BE49-F238E27FC236}">
              <a16:creationId xmlns:a16="http://schemas.microsoft.com/office/drawing/2014/main" id="{00000000-0008-0000-0000-00000E000000}"/>
            </a:ext>
          </a:extLst>
        </xdr:cNvPr>
        <xdr:cNvSpPr txBox="1"/>
      </xdr:nvSpPr>
      <xdr:spPr>
        <a:xfrm>
          <a:off x="2068830" y="730250"/>
          <a:ext cx="1068070" cy="2533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b="1"/>
            <a:t>Total</a:t>
          </a:r>
          <a:r>
            <a:rPr lang="en-US" sz="1600"/>
            <a:t> </a:t>
          </a:r>
          <a:r>
            <a:rPr lang="en-US" sz="1800" b="1"/>
            <a:t>sales</a:t>
          </a:r>
        </a:p>
      </xdr:txBody>
    </xdr:sp>
    <xdr:clientData/>
  </xdr:oneCellAnchor>
  <xdr:twoCellAnchor>
    <xdr:from>
      <xdr:col>6</xdr:col>
      <xdr:colOff>346363</xdr:colOff>
      <xdr:row>3</xdr:row>
      <xdr:rowOff>28864</xdr:rowOff>
    </xdr:from>
    <xdr:to>
      <xdr:col>10</xdr:col>
      <xdr:colOff>9620</xdr:colOff>
      <xdr:row>8</xdr:row>
      <xdr:rowOff>153940</xdr:rowOff>
    </xdr:to>
    <xdr:sp macro="" textlink="HP_Nigeria_Sales_Data.xlsx!L2">
      <xdr:nvSpPr>
        <xdr:cNvPr id="15" name="Rectangle 14">
          <a:extLst>
            <a:ext uri="{FF2B5EF4-FFF2-40B4-BE49-F238E27FC236}">
              <a16:creationId xmlns:a16="http://schemas.microsoft.com/office/drawing/2014/main" id="{00000000-0008-0000-0000-00000F000000}"/>
            </a:ext>
          </a:extLst>
        </xdr:cNvPr>
        <xdr:cNvSpPr/>
      </xdr:nvSpPr>
      <xdr:spPr>
        <a:xfrm>
          <a:off x="4003675" y="739775"/>
          <a:ext cx="2101850" cy="10140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A01074-B0A1-4A22-8BF8-5843868A36EC}" type="TxLink">
            <a:rPr lang="en-US" sz="1800" b="0" i="0" u="none" strike="noStrike">
              <a:solidFill>
                <a:srgbClr val="000000"/>
              </a:solidFill>
              <a:latin typeface="Aptos Narrow"/>
            </a:rPr>
            <a:pPr algn="ctr"/>
            <a:t> </a:t>
          </a:fld>
          <a:endParaRPr lang="en-US" sz="1800"/>
        </a:p>
      </xdr:txBody>
    </xdr:sp>
    <xdr:clientData/>
  </xdr:twoCellAnchor>
  <xdr:oneCellAnchor>
    <xdr:from>
      <xdr:col>7</xdr:col>
      <xdr:colOff>221288</xdr:colOff>
      <xdr:row>3</xdr:row>
      <xdr:rowOff>38485</xdr:rowOff>
    </xdr:from>
    <xdr:ext cx="1275221" cy="361377"/>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4488180" y="749300"/>
          <a:ext cx="1275080" cy="361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t>Total profits</a:t>
          </a:r>
        </a:p>
      </xdr:txBody>
    </xdr:sp>
    <xdr:clientData/>
  </xdr:oneCellAnchor>
  <xdr:twoCellAnchor>
    <xdr:from>
      <xdr:col>10</xdr:col>
      <xdr:colOff>250153</xdr:colOff>
      <xdr:row>3</xdr:row>
      <xdr:rowOff>105832</xdr:rowOff>
    </xdr:from>
    <xdr:to>
      <xdr:col>13</xdr:col>
      <xdr:colOff>432954</xdr:colOff>
      <xdr:row>8</xdr:row>
      <xdr:rowOff>38484</xdr:rowOff>
    </xdr:to>
    <xdr:sp macro="" textlink="">
      <xdr:nvSpPr>
        <xdr:cNvPr id="18" name="Rectangle 17">
          <a:extLst>
            <a:ext uri="{FF2B5EF4-FFF2-40B4-BE49-F238E27FC236}">
              <a16:creationId xmlns:a16="http://schemas.microsoft.com/office/drawing/2014/main" id="{00000000-0008-0000-0000-000012000000}"/>
            </a:ext>
          </a:extLst>
        </xdr:cNvPr>
        <xdr:cNvSpPr/>
      </xdr:nvSpPr>
      <xdr:spPr>
        <a:xfrm>
          <a:off x="6345555" y="816610"/>
          <a:ext cx="3916680" cy="82169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0" i="0" u="none" strike="noStrike">
              <a:solidFill>
                <a:srgbClr val="000000"/>
              </a:solidFill>
              <a:latin typeface="Aptos Narrow"/>
            </a:rPr>
            <a:t>1193</a:t>
          </a:r>
        </a:p>
      </xdr:txBody>
    </xdr:sp>
    <xdr:clientData/>
  </xdr:twoCellAnchor>
  <xdr:oneCellAnchor>
    <xdr:from>
      <xdr:col>11</xdr:col>
      <xdr:colOff>48106</xdr:colOff>
      <xdr:row>3</xdr:row>
      <xdr:rowOff>115455</xdr:rowOff>
    </xdr:from>
    <xdr:ext cx="1473609" cy="361377"/>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6753225" y="826135"/>
          <a:ext cx="1473835" cy="3613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a:t>Total unit sold</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60479</xdr:rowOff>
    </xdr:from>
    <xdr:to>
      <xdr:col>17</xdr:col>
      <xdr:colOff>181429</xdr:colOff>
      <xdr:row>39</xdr:row>
      <xdr:rowOff>10080</xdr:rowOff>
    </xdr:to>
    <xdr:pic>
      <xdr:nvPicPr>
        <xdr:cNvPr id="9" name="Picture 8">
          <a:extLst>
            <a:ext uri="{FF2B5EF4-FFF2-40B4-BE49-F238E27FC236}">
              <a16:creationId xmlns:a16="http://schemas.microsoft.com/office/drawing/2014/main" id="{4D42831B-8B1A-8F14-1BC9-1E58B5B7AB51}"/>
            </a:ext>
          </a:extLst>
        </xdr:cNvPr>
        <xdr:cNvPicPr>
          <a:picLocks noChangeAspect="1"/>
        </xdr:cNvPicPr>
      </xdr:nvPicPr>
      <xdr:blipFill>
        <a:blip xmlns:r="http://schemas.openxmlformats.org/officeDocument/2006/relationships" r:embed="rId1"/>
        <a:stretch>
          <a:fillRect/>
        </a:stretch>
      </xdr:blipFill>
      <xdr:spPr>
        <a:xfrm>
          <a:off x="0" y="897066"/>
          <a:ext cx="10462381" cy="6299601"/>
        </a:xfrm>
        <a:prstGeom prst="rect">
          <a:avLst/>
        </a:prstGeom>
      </xdr:spPr>
    </xdr:pic>
    <xdr:clientData/>
  </xdr:twoCellAnchor>
  <xdr:twoCellAnchor editAs="oneCell">
    <xdr:from>
      <xdr:col>0</xdr:col>
      <xdr:colOff>12700</xdr:colOff>
      <xdr:row>0</xdr:row>
      <xdr:rowOff>19050</xdr:rowOff>
    </xdr:from>
    <xdr:to>
      <xdr:col>3</xdr:col>
      <xdr:colOff>215900</xdr:colOff>
      <xdr:row>4</xdr:row>
      <xdr:rowOff>171450</xdr:rowOff>
    </xdr:to>
    <xdr:pic>
      <xdr:nvPicPr>
        <xdr:cNvPr id="2" name="Picture 1">
          <a:extLst>
            <a:ext uri="{FF2B5EF4-FFF2-40B4-BE49-F238E27FC236}">
              <a16:creationId xmlns:a16="http://schemas.microsoft.com/office/drawing/2014/main" id="{9AE5B0FB-C15F-BB33-8938-501673E26FA1}"/>
            </a:ext>
          </a:extLst>
        </xdr:cNvPr>
        <xdr:cNvPicPr>
          <a:picLocks noChangeAspect="1"/>
        </xdr:cNvPicPr>
      </xdr:nvPicPr>
      <xdr:blipFill>
        <a:blip xmlns:r="http://schemas.openxmlformats.org/officeDocument/2006/relationships" r:embed="rId2"/>
        <a:stretch>
          <a:fillRect/>
        </a:stretch>
      </xdr:blipFill>
      <xdr:spPr>
        <a:xfrm>
          <a:off x="12700" y="19050"/>
          <a:ext cx="2032000" cy="977900"/>
        </a:xfrm>
        <a:prstGeom prst="rect">
          <a:avLst/>
        </a:prstGeom>
      </xdr:spPr>
    </xdr:pic>
    <xdr:clientData/>
  </xdr:twoCellAnchor>
  <xdr:twoCellAnchor>
    <xdr:from>
      <xdr:col>0</xdr:col>
      <xdr:colOff>0</xdr:colOff>
      <xdr:row>6</xdr:row>
      <xdr:rowOff>107547</xdr:rowOff>
    </xdr:from>
    <xdr:to>
      <xdr:col>6</xdr:col>
      <xdr:colOff>21912</xdr:colOff>
      <xdr:row>20</xdr:row>
      <xdr:rowOff>40418</xdr:rowOff>
    </xdr:to>
    <xdr:graphicFrame macro="">
      <xdr:nvGraphicFramePr>
        <xdr:cNvPr id="3" name="Chart 1">
          <a:extLst>
            <a:ext uri="{FF2B5EF4-FFF2-40B4-BE49-F238E27FC236}">
              <a16:creationId xmlns:a16="http://schemas.microsoft.com/office/drawing/2014/main" id="{F2CFD540-19AB-3A90-A36B-7426E80893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136783</xdr:colOff>
      <xdr:row>6</xdr:row>
      <xdr:rowOff>43834</xdr:rowOff>
    </xdr:from>
    <xdr:to>
      <xdr:col>12</xdr:col>
      <xdr:colOff>204710</xdr:colOff>
      <xdr:row>19</xdr:row>
      <xdr:rowOff>152856</xdr:rowOff>
    </xdr:to>
    <xdr:graphicFrame macro="">
      <xdr:nvGraphicFramePr>
        <xdr:cNvPr id="4" name="Chart 2">
          <a:extLst>
            <a:ext uri="{FF2B5EF4-FFF2-40B4-BE49-F238E27FC236}">
              <a16:creationId xmlns:a16="http://schemas.microsoft.com/office/drawing/2014/main" id="{8AD139C6-2556-6205-1E44-0E62CB80C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138480</xdr:colOff>
      <xdr:row>20</xdr:row>
      <xdr:rowOff>100284</xdr:rowOff>
    </xdr:from>
    <xdr:to>
      <xdr:col>5</xdr:col>
      <xdr:colOff>508524</xdr:colOff>
      <xdr:row>33</xdr:row>
      <xdr:rowOff>53278</xdr:rowOff>
    </xdr:to>
    <xdr:graphicFrame macro="">
      <xdr:nvGraphicFramePr>
        <xdr:cNvPr id="5" name="Chart 3">
          <a:extLst>
            <a:ext uri="{FF2B5EF4-FFF2-40B4-BE49-F238E27FC236}">
              <a16:creationId xmlns:a16="http://schemas.microsoft.com/office/drawing/2014/main" id="{9BDF9846-CE04-0130-2EBA-B983908E92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116483</xdr:colOff>
      <xdr:row>21</xdr:row>
      <xdr:rowOff>1370</xdr:rowOff>
    </xdr:from>
    <xdr:to>
      <xdr:col>11</xdr:col>
      <xdr:colOff>601355</xdr:colOff>
      <xdr:row>33</xdr:row>
      <xdr:rowOff>115274</xdr:rowOff>
    </xdr:to>
    <xdr:graphicFrame macro="">
      <xdr:nvGraphicFramePr>
        <xdr:cNvPr id="6" name="Chart 4">
          <a:extLst>
            <a:ext uri="{FF2B5EF4-FFF2-40B4-BE49-F238E27FC236}">
              <a16:creationId xmlns:a16="http://schemas.microsoft.com/office/drawing/2014/main" id="{A2B277B1-4A02-228D-82FF-8E2DCCE68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229048</xdr:colOff>
      <xdr:row>4</xdr:row>
      <xdr:rowOff>10080</xdr:rowOff>
    </xdr:from>
    <xdr:to>
      <xdr:col>15</xdr:col>
      <xdr:colOff>229048</xdr:colOff>
      <xdr:row>15</xdr:row>
      <xdr:rowOff>30238</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6C11CB94-51A1-D45D-1CB4-1624AC23AC4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458279" y="840465"/>
              <a:ext cx="1807307" cy="1990286"/>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227491</xdr:colOff>
      <xdr:row>27</xdr:row>
      <xdr:rowOff>35077</xdr:rowOff>
    </xdr:from>
    <xdr:to>
      <xdr:col>15</xdr:col>
      <xdr:colOff>242005</xdr:colOff>
      <xdr:row>38</xdr:row>
      <xdr:rowOff>60476</xdr:rowOff>
    </xdr:to>
    <mc:AlternateContent xmlns:mc="http://schemas.openxmlformats.org/markup-compatibility/2006" xmlns:a14="http://schemas.microsoft.com/office/drawing/2010/main">
      <mc:Choice Requires="a14">
        <xdr:graphicFrame macro="">
          <xdr:nvGraphicFramePr>
            <xdr:cNvPr id="10" name="Salesperson 1">
              <a:extLst>
                <a:ext uri="{FF2B5EF4-FFF2-40B4-BE49-F238E27FC236}">
                  <a16:creationId xmlns:a16="http://schemas.microsoft.com/office/drawing/2014/main" id="{AE8E7A97-E8FB-1855-D0F5-AE2E7E25DAD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7456722" y="4984821"/>
              <a:ext cx="1821821" cy="1995527"/>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221746</xdr:colOff>
      <xdr:row>15</xdr:row>
      <xdr:rowOff>131031</xdr:rowOff>
    </xdr:from>
    <xdr:to>
      <xdr:col>15</xdr:col>
      <xdr:colOff>362857</xdr:colOff>
      <xdr:row>27</xdr:row>
      <xdr:rowOff>80635</xdr:rowOff>
    </xdr:to>
    <mc:AlternateContent xmlns:mc="http://schemas.openxmlformats.org/markup-compatibility/2006" xmlns:a14="http://schemas.microsoft.com/office/drawing/2010/main">
      <mc:Choice Requires="a14">
        <xdr:graphicFrame macro="">
          <xdr:nvGraphicFramePr>
            <xdr:cNvPr id="11" name="Product 1">
              <a:extLst>
                <a:ext uri="{FF2B5EF4-FFF2-40B4-BE49-F238E27FC236}">
                  <a16:creationId xmlns:a16="http://schemas.microsoft.com/office/drawing/2014/main" id="{833F0575-92C5-E05E-6095-C07C1980EB5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450977" y="2931544"/>
              <a:ext cx="1948418" cy="2098835"/>
            </a:xfrm>
            <a:prstGeom prst="rect">
              <a:avLst/>
            </a:prstGeom>
            <a:solidFill>
              <a:prstClr val="white"/>
            </a:solidFill>
            <a:ln w="1">
              <a:solidFill>
                <a:prstClr val="green"/>
              </a:solidFill>
            </a:ln>
          </xdr:spPr>
          <xdr:txBody>
            <a:bodyPr vertOverflow="clip" horzOverflow="clip"/>
            <a:lstStyle/>
            <a:p>
              <a:r>
                <a:rPr lang="LID4096"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ele grace" refreshedDate="46245.5381472222" createdVersion="8" refreshedVersion="8" minRefreshableVersion="3" recordCount="120" xr:uid="{00000000-000A-0000-FFFF-FFFF00000000}">
  <cacheSource type="worksheet">
    <worksheetSource ref="A1:I121" sheet="HP_Nigeria_Sales_Data.xlsx"/>
  </cacheSource>
  <cacheFields count="11">
    <cacheField name="Date" numFmtId="22">
      <sharedItems containsSemiMixedTypes="0" containsNonDate="0" containsDate="1" containsString="0" minDate="2025-01-02T00:00:00" maxDate="2025-06-29T00:00:00" count="85">
        <d v="2025-02-22T00:00:00"/>
        <d v="2025-02-23T00:00:00"/>
        <d v="2025-04-21T00:00:00"/>
        <d v="2025-04-18T00:00:00"/>
        <d v="2025-02-20T00:00:00"/>
        <d v="2025-04-17T00:00:00"/>
        <d v="2025-04-16T00:00:00"/>
        <d v="2025-02-19T00:00:00"/>
        <d v="2025-04-14T00:00:00"/>
        <d v="2025-02-18T00:00:00"/>
        <d v="2025-02-17T00:00:00"/>
        <d v="2025-04-13T00:00:00"/>
        <d v="2025-01-21T00:00:00"/>
        <d v="2025-02-14T00:00:00"/>
        <d v="2025-03-22T00:00:00"/>
        <d v="2025-05-02T00:00:00"/>
        <d v="2025-05-26T00:00:00"/>
        <d v="2025-06-11T00:00:00"/>
        <d v="2025-06-21T00:00:00"/>
        <d v="2025-01-18T00:00:00"/>
        <d v="2025-02-13T00:00:00"/>
        <d v="2025-04-11T00:00:00"/>
        <d v="2025-04-27T00:00:00"/>
        <d v="2025-05-19T00:00:00"/>
        <d v="2025-06-10T00:00:00"/>
        <d v="2025-01-15T00:00:00"/>
        <d v="2025-02-10T00:00:00"/>
        <d v="2025-03-16T00:00:00"/>
        <d v="2025-04-10T00:00:00"/>
        <d v="2025-05-16T00:00:00"/>
        <d v="2025-06-07T00:00:00"/>
        <d v="2025-06-19T00:00:00"/>
        <d v="2025-03-14T00:00:00"/>
        <d v="2025-04-09T00:00:00"/>
        <d v="2025-06-06T00:00:00"/>
        <d v="2025-06-16T00:00:00"/>
        <d v="2025-02-09T00:00:00"/>
        <d v="2025-03-13T00:00:00"/>
        <d v="2025-04-05T00:00:00"/>
        <d v="2025-05-15T00:00:00"/>
        <d v="2025-06-03T00:00:00"/>
        <d v="2025-06-13T00:00:00"/>
        <d v="2025-02-07T00:00:00"/>
        <d v="2025-04-03T00:00:00"/>
        <d v="2025-06-01T00:00:00"/>
        <d v="2025-06-12T00:00:00"/>
        <d v="2025-06-29T00:00:00"/>
        <d v="2025-01-02T00:00:00"/>
        <d v="2025-03-23T00:00:00"/>
        <d v="2025-05-03T00:00:00"/>
        <d v="2025-01-14T00:00:00"/>
        <d v="2025-02-04T00:00:00"/>
        <d v="2025-03-06T00:00:00"/>
        <d v="2025-03-31T00:00:00"/>
        <d v="2025-05-12T00:00:00"/>
        <d v="2025-05-30T00:00:00"/>
        <d v="2025-06-24T00:00:00"/>
        <d v="2025-01-08T00:00:00"/>
        <d v="2025-01-28T00:00:00"/>
        <d v="2025-03-01T00:00:00"/>
        <d v="2025-03-29T00:00:00"/>
        <d v="2025-05-10T00:00:00"/>
        <d v="2025-01-09T00:00:00"/>
        <d v="2025-02-02T00:00:00"/>
        <d v="2025-03-03T00:00:00"/>
        <d v="2025-03-30T00:00:00"/>
        <d v="2025-05-11T00:00:00"/>
        <d v="2025-01-05T00:00:00"/>
        <d v="2025-01-24T00:00:00"/>
        <d v="2025-02-28T00:00:00"/>
        <d v="2025-01-12T00:00:00"/>
        <d v="2025-03-05T00:00:00"/>
        <d v="2025-01-04T00:00:00"/>
        <d v="2025-01-22T00:00:00"/>
        <d v="2025-02-27T00:00:00"/>
        <d v="2025-05-09T00:00:00"/>
        <d v="2025-02-06T00:00:00"/>
        <d v="2025-03-04T00:00:00"/>
        <d v="2025-03-12T00:00:00"/>
        <d v="2025-04-02T00:00:00"/>
        <d v="2025-05-14T00:00:00"/>
        <d v="2025-05-31T00:00:00"/>
        <d v="2025-02-24T00:00:00"/>
        <d v="2025-03-25T00:00:00"/>
        <d v="2025-05-04T00:00:00"/>
      </sharedItems>
      <fieldGroup par="10"/>
    </cacheField>
    <cacheField name="Region" numFmtId="0">
      <sharedItems count="4">
        <s v="South"/>
        <s v="North"/>
        <s v="West"/>
        <s v="East"/>
      </sharedItems>
    </cacheField>
    <cacheField name="Salesperson" numFmtId="0">
      <sharedItems count="6">
        <s v="Ada"/>
        <s v="Efe"/>
        <s v="Bola"/>
        <s v="Chidi"/>
        <s v="Musa"/>
        <s v="Grace"/>
      </sharedItems>
    </cacheField>
    <cacheField name="Product" numFmtId="0">
      <sharedItems count="6">
        <s v="Printer"/>
        <s v="Mouse"/>
        <s v="Monitor"/>
        <s v="Headset"/>
        <s v="Laptop"/>
        <s v="Keyboard"/>
      </sharedItems>
    </cacheField>
    <cacheField name="Cost" numFmtId="0">
      <sharedItems containsSemiMixedTypes="0" containsNonDate="0" containsString="0" containsNumber="1" containsInteger="1" minValue="17" maxValue="21000"/>
    </cacheField>
    <cacheField name="Units Sold" numFmtId="0">
      <sharedItems containsSemiMixedTypes="0" containsNonDate="0" containsString="0" containsNumber="1" containsInteger="1" minValue="1" maxValue="19"/>
    </cacheField>
    <cacheField name="Unit Price" numFmtId="0">
      <sharedItems containsSemiMixedTypes="0" containsNonDate="0" containsString="0" containsNumber="1" containsInteger="1" minValue="5000" maxValue="350000"/>
    </cacheField>
    <cacheField name="Sales" numFmtId="0">
      <sharedItems containsSemiMixedTypes="0" containsNonDate="0" containsString="0" containsNumber="1" containsInteger="1" minValue="5000" maxValue="6650000"/>
    </cacheField>
    <cacheField name="profit" numFmtId="0">
      <sharedItems containsSemiMixedTypes="0" containsNonDate="0" containsString="0" containsNumber="1" containsInteger="1" minValue="-16000" maxValue="6647500"/>
    </cacheField>
    <cacheField name="Days (Date)" numFmtId="0" databaseField="0">
      <fieldGroup base="0">
        <rangePr groupBy="days" startDate="2025-01-02T00:00:00" endDate="2025-06-30T00:00:00"/>
        <groupItems count="368">
          <s v="&lt;1/2/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6/30/2025"/>
        </groupItems>
      </fieldGroup>
    </cacheField>
    <cacheField name="Months (Date)" numFmtId="0" databaseField="0">
      <fieldGroup base="0">
        <rangePr groupBy="months" startDate="2025-01-02T00:00:00" endDate="2025-06-30T00:00:00"/>
        <groupItems count="14">
          <s v="&lt;1/2/2025"/>
          <s v="Jan"/>
          <s v="Feb"/>
          <s v="Mar"/>
          <s v="Apr"/>
          <s v="May"/>
          <s v="Jun"/>
          <s v="Jul"/>
          <s v="Aug"/>
          <s v="Sep"/>
          <s v="Oct"/>
          <s v="Nov"/>
          <s v="Dec"/>
          <s v="&gt;6/30/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n v="8429"/>
    <n v="15"/>
    <n v="15000"/>
    <n v="225000"/>
    <n v="216571"/>
  </r>
  <r>
    <x v="1"/>
    <x v="1"/>
    <x v="1"/>
    <x v="1"/>
    <n v="8429"/>
    <n v="18"/>
    <n v="120000"/>
    <n v="2160000"/>
    <n v="2151571"/>
  </r>
  <r>
    <x v="2"/>
    <x v="2"/>
    <x v="2"/>
    <x v="2"/>
    <n v="8429"/>
    <n v="10"/>
    <n v="5000"/>
    <n v="50000"/>
    <n v="41571"/>
  </r>
  <r>
    <x v="0"/>
    <x v="2"/>
    <x v="0"/>
    <x v="3"/>
    <n v="7779"/>
    <n v="12"/>
    <n v="80000"/>
    <n v="960000"/>
    <n v="952221"/>
  </r>
  <r>
    <x v="2"/>
    <x v="1"/>
    <x v="3"/>
    <x v="2"/>
    <n v="7779"/>
    <n v="10"/>
    <n v="15000"/>
    <n v="150000"/>
    <n v="142221"/>
  </r>
  <r>
    <x v="0"/>
    <x v="1"/>
    <x v="4"/>
    <x v="4"/>
    <n v="7130"/>
    <n v="12"/>
    <n v="5000"/>
    <n v="60000"/>
    <n v="52870"/>
  </r>
  <r>
    <x v="3"/>
    <x v="1"/>
    <x v="1"/>
    <x v="0"/>
    <n v="7130"/>
    <n v="19"/>
    <n v="10000"/>
    <n v="190000"/>
    <n v="182870"/>
  </r>
  <r>
    <x v="4"/>
    <x v="3"/>
    <x v="2"/>
    <x v="2"/>
    <n v="6480"/>
    <n v="7"/>
    <n v="350000"/>
    <n v="2450000"/>
    <n v="2443520"/>
  </r>
  <r>
    <x v="5"/>
    <x v="1"/>
    <x v="5"/>
    <x v="1"/>
    <n v="6480"/>
    <n v="1"/>
    <n v="350000"/>
    <n v="350000"/>
    <n v="343520"/>
  </r>
  <r>
    <x v="4"/>
    <x v="3"/>
    <x v="3"/>
    <x v="2"/>
    <n v="5830"/>
    <n v="4"/>
    <n v="350000"/>
    <n v="1400000"/>
    <n v="1394170"/>
  </r>
  <r>
    <x v="6"/>
    <x v="1"/>
    <x v="4"/>
    <x v="5"/>
    <n v="5830"/>
    <n v="2"/>
    <n v="10000"/>
    <n v="20000"/>
    <n v="14170"/>
  </r>
  <r>
    <x v="7"/>
    <x v="2"/>
    <x v="0"/>
    <x v="3"/>
    <n v="5181"/>
    <n v="11"/>
    <n v="15000"/>
    <n v="165000"/>
    <n v="159819"/>
  </r>
  <r>
    <x v="8"/>
    <x v="1"/>
    <x v="0"/>
    <x v="4"/>
    <n v="5181"/>
    <n v="4"/>
    <n v="80000"/>
    <n v="320000"/>
    <n v="314819"/>
  </r>
  <r>
    <x v="9"/>
    <x v="1"/>
    <x v="3"/>
    <x v="3"/>
    <n v="4531"/>
    <n v="4"/>
    <n v="10000"/>
    <n v="40000"/>
    <n v="35469"/>
  </r>
  <r>
    <x v="8"/>
    <x v="1"/>
    <x v="0"/>
    <x v="1"/>
    <n v="4531"/>
    <n v="12"/>
    <n v="80000"/>
    <n v="960000"/>
    <n v="955469"/>
  </r>
  <r>
    <x v="10"/>
    <x v="3"/>
    <x v="4"/>
    <x v="0"/>
    <n v="3881"/>
    <n v="13"/>
    <n v="350000"/>
    <n v="4550000"/>
    <n v="4546119"/>
  </r>
  <r>
    <x v="8"/>
    <x v="3"/>
    <x v="5"/>
    <x v="3"/>
    <n v="3881"/>
    <n v="16"/>
    <n v="80000"/>
    <n v="1280000"/>
    <n v="1276119"/>
  </r>
  <r>
    <x v="10"/>
    <x v="1"/>
    <x v="4"/>
    <x v="2"/>
    <n v="3232"/>
    <n v="16"/>
    <n v="10000"/>
    <n v="160000"/>
    <n v="156768"/>
  </r>
  <r>
    <x v="11"/>
    <x v="3"/>
    <x v="4"/>
    <x v="4"/>
    <n v="3232"/>
    <n v="4"/>
    <n v="5000"/>
    <n v="20000"/>
    <n v="16768"/>
  </r>
  <r>
    <x v="12"/>
    <x v="3"/>
    <x v="2"/>
    <x v="4"/>
    <n v="2582"/>
    <n v="9"/>
    <n v="350000"/>
    <n v="3150000"/>
    <n v="3147418"/>
  </r>
  <r>
    <x v="13"/>
    <x v="3"/>
    <x v="3"/>
    <x v="1"/>
    <n v="2582"/>
    <n v="19"/>
    <n v="80000"/>
    <n v="1520000"/>
    <n v="1517418"/>
  </r>
  <r>
    <x v="14"/>
    <x v="1"/>
    <x v="3"/>
    <x v="3"/>
    <n v="2582"/>
    <n v="19"/>
    <n v="5000"/>
    <n v="95000"/>
    <n v="92418"/>
  </r>
  <r>
    <x v="11"/>
    <x v="3"/>
    <x v="0"/>
    <x v="3"/>
    <n v="2582"/>
    <n v="17"/>
    <n v="5000"/>
    <n v="85000"/>
    <n v="82418"/>
  </r>
  <r>
    <x v="15"/>
    <x v="0"/>
    <x v="1"/>
    <x v="1"/>
    <n v="2582"/>
    <n v="7"/>
    <n v="5000"/>
    <n v="35000"/>
    <n v="32418"/>
  </r>
  <r>
    <x v="16"/>
    <x v="1"/>
    <x v="3"/>
    <x v="2"/>
    <n v="2582"/>
    <n v="12"/>
    <n v="80000"/>
    <n v="960000"/>
    <n v="957418"/>
  </r>
  <r>
    <x v="17"/>
    <x v="1"/>
    <x v="5"/>
    <x v="5"/>
    <n v="2582"/>
    <n v="3"/>
    <n v="80000"/>
    <n v="240000"/>
    <n v="237418"/>
  </r>
  <r>
    <x v="18"/>
    <x v="3"/>
    <x v="4"/>
    <x v="0"/>
    <n v="2582"/>
    <n v="5"/>
    <n v="120000"/>
    <n v="600000"/>
    <n v="597418"/>
  </r>
  <r>
    <x v="19"/>
    <x v="0"/>
    <x v="0"/>
    <x v="2"/>
    <n v="1932"/>
    <n v="4"/>
    <n v="120000"/>
    <n v="480000"/>
    <n v="478068"/>
  </r>
  <r>
    <x v="20"/>
    <x v="2"/>
    <x v="0"/>
    <x v="0"/>
    <n v="1932"/>
    <n v="3"/>
    <n v="120000"/>
    <n v="360000"/>
    <n v="358068"/>
  </r>
  <r>
    <x v="14"/>
    <x v="0"/>
    <x v="5"/>
    <x v="4"/>
    <n v="1932"/>
    <n v="9"/>
    <n v="5000"/>
    <n v="45000"/>
    <n v="43068"/>
  </r>
  <r>
    <x v="21"/>
    <x v="1"/>
    <x v="0"/>
    <x v="3"/>
    <n v="1932"/>
    <n v="9"/>
    <n v="120000"/>
    <n v="1080000"/>
    <n v="1078068"/>
  </r>
  <r>
    <x v="22"/>
    <x v="1"/>
    <x v="0"/>
    <x v="3"/>
    <n v="1932"/>
    <n v="18"/>
    <n v="5000"/>
    <n v="90000"/>
    <n v="88068"/>
  </r>
  <r>
    <x v="23"/>
    <x v="0"/>
    <x v="1"/>
    <x v="0"/>
    <n v="1932"/>
    <n v="15"/>
    <n v="80000"/>
    <n v="1200000"/>
    <n v="1198068"/>
  </r>
  <r>
    <x v="24"/>
    <x v="1"/>
    <x v="5"/>
    <x v="1"/>
    <n v="1932"/>
    <n v="13"/>
    <n v="120000"/>
    <n v="1560000"/>
    <n v="1558068"/>
  </r>
  <r>
    <x v="18"/>
    <x v="0"/>
    <x v="0"/>
    <x v="4"/>
    <n v="1932"/>
    <n v="5"/>
    <n v="15000"/>
    <n v="75000"/>
    <n v="73068"/>
  </r>
  <r>
    <x v="25"/>
    <x v="2"/>
    <x v="4"/>
    <x v="5"/>
    <n v="1282"/>
    <n v="14"/>
    <n v="15000"/>
    <n v="210000"/>
    <n v="208718"/>
  </r>
  <r>
    <x v="26"/>
    <x v="3"/>
    <x v="4"/>
    <x v="1"/>
    <n v="1282"/>
    <n v="10"/>
    <n v="80000"/>
    <n v="800000"/>
    <n v="798718"/>
  </r>
  <r>
    <x v="27"/>
    <x v="3"/>
    <x v="3"/>
    <x v="1"/>
    <n v="1282"/>
    <n v="4"/>
    <n v="80000"/>
    <n v="320000"/>
    <n v="318718"/>
  </r>
  <r>
    <x v="28"/>
    <x v="3"/>
    <x v="4"/>
    <x v="0"/>
    <n v="1282"/>
    <n v="5"/>
    <n v="350000"/>
    <n v="1750000"/>
    <n v="1748718"/>
  </r>
  <r>
    <x v="29"/>
    <x v="0"/>
    <x v="0"/>
    <x v="1"/>
    <n v="1282"/>
    <n v="5"/>
    <n v="15000"/>
    <n v="75000"/>
    <n v="73718"/>
  </r>
  <r>
    <x v="30"/>
    <x v="2"/>
    <x v="0"/>
    <x v="4"/>
    <n v="1282"/>
    <n v="5"/>
    <n v="120000"/>
    <n v="600000"/>
    <n v="598718"/>
  </r>
  <r>
    <x v="31"/>
    <x v="3"/>
    <x v="3"/>
    <x v="5"/>
    <n v="1282"/>
    <n v="17"/>
    <n v="5000"/>
    <n v="85000"/>
    <n v="83718"/>
  </r>
  <r>
    <x v="25"/>
    <x v="1"/>
    <x v="2"/>
    <x v="2"/>
    <n v="633"/>
    <n v="2"/>
    <n v="80000"/>
    <n v="160000"/>
    <n v="159367"/>
  </r>
  <r>
    <x v="26"/>
    <x v="0"/>
    <x v="2"/>
    <x v="0"/>
    <n v="633"/>
    <n v="1"/>
    <n v="80000"/>
    <n v="80000"/>
    <n v="79367"/>
  </r>
  <r>
    <x v="32"/>
    <x v="0"/>
    <x v="1"/>
    <x v="5"/>
    <n v="633"/>
    <n v="7"/>
    <n v="350000"/>
    <n v="2450000"/>
    <n v="2449367"/>
  </r>
  <r>
    <x v="33"/>
    <x v="0"/>
    <x v="5"/>
    <x v="3"/>
    <n v="633"/>
    <n v="10"/>
    <n v="350000"/>
    <n v="3500000"/>
    <n v="3499367"/>
  </r>
  <r>
    <x v="29"/>
    <x v="2"/>
    <x v="4"/>
    <x v="3"/>
    <n v="633"/>
    <n v="1"/>
    <n v="350000"/>
    <n v="350000"/>
    <n v="349367"/>
  </r>
  <r>
    <x v="34"/>
    <x v="2"/>
    <x v="2"/>
    <x v="0"/>
    <n v="633"/>
    <n v="5"/>
    <n v="15000"/>
    <n v="75000"/>
    <n v="74367"/>
  </r>
  <r>
    <x v="35"/>
    <x v="2"/>
    <x v="0"/>
    <x v="2"/>
    <n v="633"/>
    <n v="9"/>
    <n v="5000"/>
    <n v="45000"/>
    <n v="44367"/>
  </r>
  <r>
    <x v="25"/>
    <x v="0"/>
    <x v="3"/>
    <x v="3"/>
    <n v="17"/>
    <n v="5"/>
    <n v="10000"/>
    <n v="50000"/>
    <n v="49983"/>
  </r>
  <r>
    <x v="36"/>
    <x v="2"/>
    <x v="4"/>
    <x v="0"/>
    <n v="17"/>
    <n v="17"/>
    <n v="15000"/>
    <n v="255000"/>
    <n v="254983"/>
  </r>
  <r>
    <x v="37"/>
    <x v="1"/>
    <x v="4"/>
    <x v="5"/>
    <n v="17"/>
    <n v="5"/>
    <n v="15000"/>
    <n v="75000"/>
    <n v="74983"/>
  </r>
  <r>
    <x v="38"/>
    <x v="3"/>
    <x v="1"/>
    <x v="2"/>
    <n v="17"/>
    <n v="8"/>
    <n v="10000"/>
    <n v="80000"/>
    <n v="79983"/>
  </r>
  <r>
    <x v="39"/>
    <x v="1"/>
    <x v="4"/>
    <x v="0"/>
    <n v="17"/>
    <n v="9"/>
    <n v="10000"/>
    <n v="90000"/>
    <n v="89983"/>
  </r>
  <r>
    <x v="40"/>
    <x v="1"/>
    <x v="2"/>
    <x v="1"/>
    <n v="17"/>
    <n v="2"/>
    <n v="10000"/>
    <n v="20000"/>
    <n v="19983"/>
  </r>
  <r>
    <x v="41"/>
    <x v="3"/>
    <x v="3"/>
    <x v="1"/>
    <n v="17"/>
    <n v="7"/>
    <n v="5000"/>
    <n v="35000"/>
    <n v="34983"/>
  </r>
  <r>
    <x v="25"/>
    <x v="1"/>
    <x v="2"/>
    <x v="5"/>
    <n v="667"/>
    <n v="13"/>
    <n v="350000"/>
    <n v="4550000"/>
    <n v="4549333"/>
  </r>
  <r>
    <x v="42"/>
    <x v="3"/>
    <x v="1"/>
    <x v="0"/>
    <n v="667"/>
    <n v="17"/>
    <n v="15000"/>
    <n v="255000"/>
    <n v="254333"/>
  </r>
  <r>
    <x v="37"/>
    <x v="0"/>
    <x v="1"/>
    <x v="5"/>
    <n v="667"/>
    <n v="4"/>
    <n v="80000"/>
    <n v="320000"/>
    <n v="319333"/>
  </r>
  <r>
    <x v="43"/>
    <x v="3"/>
    <x v="4"/>
    <x v="3"/>
    <n v="667"/>
    <n v="3"/>
    <n v="80000"/>
    <n v="240000"/>
    <n v="239333"/>
  </r>
  <r>
    <x v="39"/>
    <x v="3"/>
    <x v="0"/>
    <x v="0"/>
    <n v="667"/>
    <n v="17"/>
    <n v="5000"/>
    <n v="85000"/>
    <n v="84333"/>
  </r>
  <r>
    <x v="44"/>
    <x v="0"/>
    <x v="1"/>
    <x v="0"/>
    <n v="667"/>
    <n v="17"/>
    <n v="15000"/>
    <n v="255000"/>
    <n v="254333"/>
  </r>
  <r>
    <x v="45"/>
    <x v="2"/>
    <x v="1"/>
    <x v="5"/>
    <n v="667"/>
    <n v="5"/>
    <n v="120000"/>
    <n v="600000"/>
    <n v="599333"/>
  </r>
  <r>
    <x v="46"/>
    <x v="0"/>
    <x v="3"/>
    <x v="1"/>
    <n v="667"/>
    <n v="1"/>
    <n v="15000"/>
    <n v="15000"/>
    <n v="14333"/>
  </r>
  <r>
    <x v="47"/>
    <x v="3"/>
    <x v="3"/>
    <x v="3"/>
    <n v="1000"/>
    <n v="7"/>
    <n v="350000"/>
    <n v="2450000"/>
    <n v="2449000"/>
  </r>
  <r>
    <x v="12"/>
    <x v="3"/>
    <x v="3"/>
    <x v="2"/>
    <n v="1000"/>
    <n v="3"/>
    <n v="350000"/>
    <n v="1050000"/>
    <n v="1049000"/>
  </r>
  <r>
    <x v="1"/>
    <x v="0"/>
    <x v="1"/>
    <x v="2"/>
    <n v="1000"/>
    <n v="11"/>
    <n v="120000"/>
    <n v="1320000"/>
    <n v="1319000"/>
  </r>
  <r>
    <x v="48"/>
    <x v="3"/>
    <x v="0"/>
    <x v="2"/>
    <n v="1000"/>
    <n v="1"/>
    <n v="10000"/>
    <n v="10000"/>
    <n v="9000"/>
  </r>
  <r>
    <x v="49"/>
    <x v="3"/>
    <x v="3"/>
    <x v="3"/>
    <n v="1000"/>
    <n v="15"/>
    <n v="15000"/>
    <n v="225000"/>
    <n v="224000"/>
  </r>
  <r>
    <x v="50"/>
    <x v="1"/>
    <x v="3"/>
    <x v="4"/>
    <n v="1300"/>
    <n v="18"/>
    <n v="80000"/>
    <n v="1440000"/>
    <n v="1438700"/>
  </r>
  <r>
    <x v="51"/>
    <x v="2"/>
    <x v="5"/>
    <x v="2"/>
    <n v="1300"/>
    <n v="12"/>
    <n v="15000"/>
    <n v="180000"/>
    <n v="178700"/>
  </r>
  <r>
    <x v="52"/>
    <x v="3"/>
    <x v="5"/>
    <x v="3"/>
    <n v="1300"/>
    <n v="12"/>
    <n v="120000"/>
    <n v="1440000"/>
    <n v="1438700"/>
  </r>
  <r>
    <x v="53"/>
    <x v="0"/>
    <x v="2"/>
    <x v="0"/>
    <n v="1300"/>
    <n v="13"/>
    <n v="15000"/>
    <n v="195000"/>
    <n v="193700"/>
  </r>
  <r>
    <x v="54"/>
    <x v="3"/>
    <x v="3"/>
    <x v="4"/>
    <n v="1300"/>
    <n v="1"/>
    <n v="15000"/>
    <n v="15000"/>
    <n v="13700"/>
  </r>
  <r>
    <x v="55"/>
    <x v="2"/>
    <x v="4"/>
    <x v="1"/>
    <n v="1300"/>
    <n v="1"/>
    <n v="350000"/>
    <n v="350000"/>
    <n v="348700"/>
  </r>
  <r>
    <x v="17"/>
    <x v="1"/>
    <x v="1"/>
    <x v="5"/>
    <n v="1300"/>
    <n v="16"/>
    <n v="15000"/>
    <n v="240000"/>
    <n v="238700"/>
  </r>
  <r>
    <x v="56"/>
    <x v="3"/>
    <x v="3"/>
    <x v="4"/>
    <n v="1300"/>
    <n v="2"/>
    <n v="5000"/>
    <n v="10000"/>
    <n v="8700"/>
  </r>
  <r>
    <x v="57"/>
    <x v="0"/>
    <x v="4"/>
    <x v="3"/>
    <n v="1500"/>
    <n v="16"/>
    <n v="350000"/>
    <n v="5600000"/>
    <n v="5598500"/>
  </r>
  <r>
    <x v="58"/>
    <x v="1"/>
    <x v="4"/>
    <x v="2"/>
    <n v="1500"/>
    <n v="8"/>
    <n v="10000"/>
    <n v="80000"/>
    <n v="78500"/>
  </r>
  <r>
    <x v="59"/>
    <x v="0"/>
    <x v="2"/>
    <x v="4"/>
    <n v="1500"/>
    <n v="16"/>
    <n v="5000"/>
    <n v="80000"/>
    <n v="78500"/>
  </r>
  <r>
    <x v="60"/>
    <x v="3"/>
    <x v="3"/>
    <x v="0"/>
    <n v="1500"/>
    <n v="19"/>
    <n v="120000"/>
    <n v="2280000"/>
    <n v="2278500"/>
  </r>
  <r>
    <x v="61"/>
    <x v="2"/>
    <x v="1"/>
    <x v="2"/>
    <n v="1500"/>
    <n v="10"/>
    <n v="80000"/>
    <n v="800000"/>
    <n v="798500"/>
  </r>
  <r>
    <x v="62"/>
    <x v="2"/>
    <x v="0"/>
    <x v="1"/>
    <n v="2000"/>
    <n v="1"/>
    <n v="80000"/>
    <n v="80000"/>
    <n v="78000"/>
  </r>
  <r>
    <x v="63"/>
    <x v="3"/>
    <x v="3"/>
    <x v="1"/>
    <n v="2000"/>
    <n v="3"/>
    <n v="15000"/>
    <n v="45000"/>
    <n v="43000"/>
  </r>
  <r>
    <x v="64"/>
    <x v="0"/>
    <x v="3"/>
    <x v="3"/>
    <n v="2000"/>
    <n v="16"/>
    <n v="5000"/>
    <n v="80000"/>
    <n v="78000"/>
  </r>
  <r>
    <x v="65"/>
    <x v="0"/>
    <x v="1"/>
    <x v="3"/>
    <n v="2000"/>
    <n v="4"/>
    <n v="15000"/>
    <n v="60000"/>
    <n v="58000"/>
  </r>
  <r>
    <x v="66"/>
    <x v="2"/>
    <x v="0"/>
    <x v="0"/>
    <n v="2000"/>
    <n v="17"/>
    <n v="80000"/>
    <n v="1360000"/>
    <n v="1358000"/>
  </r>
  <r>
    <x v="67"/>
    <x v="0"/>
    <x v="4"/>
    <x v="2"/>
    <n v="2100"/>
    <n v="13"/>
    <n v="5000"/>
    <n v="65000"/>
    <n v="62900"/>
  </r>
  <r>
    <x v="68"/>
    <x v="1"/>
    <x v="5"/>
    <x v="4"/>
    <n v="2100"/>
    <n v="12"/>
    <n v="15000"/>
    <n v="180000"/>
    <n v="177900"/>
  </r>
  <r>
    <x v="69"/>
    <x v="3"/>
    <x v="1"/>
    <x v="4"/>
    <n v="2100"/>
    <n v="12"/>
    <n v="80000"/>
    <n v="960000"/>
    <n v="957900"/>
  </r>
  <r>
    <x v="60"/>
    <x v="3"/>
    <x v="0"/>
    <x v="3"/>
    <n v="2100"/>
    <n v="13"/>
    <n v="120000"/>
    <n v="1560000"/>
    <n v="1557900"/>
  </r>
  <r>
    <x v="61"/>
    <x v="1"/>
    <x v="3"/>
    <x v="3"/>
    <n v="2100"/>
    <n v="5"/>
    <n v="10000"/>
    <n v="50000"/>
    <n v="47900"/>
  </r>
  <r>
    <x v="70"/>
    <x v="2"/>
    <x v="4"/>
    <x v="4"/>
    <n v="2500"/>
    <n v="18"/>
    <n v="80000"/>
    <n v="1440000"/>
    <n v="1437500"/>
  </r>
  <r>
    <x v="51"/>
    <x v="2"/>
    <x v="1"/>
    <x v="1"/>
    <n v="2500"/>
    <n v="19"/>
    <n v="350000"/>
    <n v="6650000"/>
    <n v="6647500"/>
  </r>
  <r>
    <x v="71"/>
    <x v="1"/>
    <x v="0"/>
    <x v="5"/>
    <n v="2500"/>
    <n v="3"/>
    <n v="120000"/>
    <n v="360000"/>
    <n v="357500"/>
  </r>
  <r>
    <x v="65"/>
    <x v="1"/>
    <x v="4"/>
    <x v="4"/>
    <n v="2500"/>
    <n v="16"/>
    <n v="120000"/>
    <n v="1920000"/>
    <n v="1917500"/>
  </r>
  <r>
    <x v="54"/>
    <x v="0"/>
    <x v="2"/>
    <x v="2"/>
    <n v="2500"/>
    <n v="12"/>
    <n v="120000"/>
    <n v="1440000"/>
    <n v="1437500"/>
  </r>
  <r>
    <x v="72"/>
    <x v="3"/>
    <x v="0"/>
    <x v="1"/>
    <n v="3000"/>
    <n v="3"/>
    <n v="15000"/>
    <n v="45000"/>
    <n v="42000"/>
  </r>
  <r>
    <x v="73"/>
    <x v="2"/>
    <x v="1"/>
    <x v="1"/>
    <n v="3000"/>
    <n v="16"/>
    <n v="5000"/>
    <n v="80000"/>
    <n v="77000"/>
  </r>
  <r>
    <x v="74"/>
    <x v="2"/>
    <x v="3"/>
    <x v="4"/>
    <n v="3000"/>
    <n v="17"/>
    <n v="120000"/>
    <n v="2040000"/>
    <n v="2037000"/>
  </r>
  <r>
    <x v="60"/>
    <x v="2"/>
    <x v="1"/>
    <x v="1"/>
    <n v="3000"/>
    <n v="19"/>
    <n v="80000"/>
    <n v="1520000"/>
    <n v="1517000"/>
  </r>
  <r>
    <x v="75"/>
    <x v="1"/>
    <x v="0"/>
    <x v="1"/>
    <n v="3000"/>
    <n v="14"/>
    <n v="5000"/>
    <n v="70000"/>
    <n v="67000"/>
  </r>
  <r>
    <x v="62"/>
    <x v="1"/>
    <x v="1"/>
    <x v="5"/>
    <n v="4000"/>
    <n v="16"/>
    <n v="80000"/>
    <n v="1280000"/>
    <n v="1276000"/>
  </r>
  <r>
    <x v="50"/>
    <x v="1"/>
    <x v="4"/>
    <x v="4"/>
    <n v="4000"/>
    <n v="19"/>
    <n v="120000"/>
    <n v="2280000"/>
    <n v="2276000"/>
  </r>
  <r>
    <x v="63"/>
    <x v="0"/>
    <x v="3"/>
    <x v="1"/>
    <n v="4000"/>
    <n v="3"/>
    <n v="5000"/>
    <n v="15000"/>
    <n v="11000"/>
  </r>
  <r>
    <x v="76"/>
    <x v="2"/>
    <x v="2"/>
    <x v="2"/>
    <n v="4000"/>
    <n v="16"/>
    <n v="120000"/>
    <n v="1920000"/>
    <n v="1916000"/>
  </r>
  <r>
    <x v="77"/>
    <x v="1"/>
    <x v="5"/>
    <x v="1"/>
    <n v="4000"/>
    <n v="14"/>
    <n v="350000"/>
    <n v="4900000"/>
    <n v="4896000"/>
  </r>
  <r>
    <x v="78"/>
    <x v="2"/>
    <x v="1"/>
    <x v="3"/>
    <n v="4000"/>
    <n v="16"/>
    <n v="5000"/>
    <n v="80000"/>
    <n v="76000"/>
  </r>
  <r>
    <x v="65"/>
    <x v="0"/>
    <x v="0"/>
    <x v="4"/>
    <n v="4000"/>
    <n v="14"/>
    <n v="10000"/>
    <n v="140000"/>
    <n v="136000"/>
  </r>
  <r>
    <x v="79"/>
    <x v="2"/>
    <x v="0"/>
    <x v="5"/>
    <n v="4000"/>
    <n v="7"/>
    <n v="10000"/>
    <n v="70000"/>
    <n v="66000"/>
  </r>
  <r>
    <x v="66"/>
    <x v="0"/>
    <x v="2"/>
    <x v="5"/>
    <n v="4000"/>
    <n v="13"/>
    <n v="120000"/>
    <n v="1560000"/>
    <n v="1556000"/>
  </r>
  <r>
    <x v="80"/>
    <x v="1"/>
    <x v="3"/>
    <x v="0"/>
    <n v="4000"/>
    <n v="19"/>
    <n v="10000"/>
    <n v="190000"/>
    <n v="186000"/>
  </r>
  <r>
    <x v="81"/>
    <x v="0"/>
    <x v="3"/>
    <x v="2"/>
    <n v="4000"/>
    <n v="12"/>
    <n v="5000"/>
    <n v="60000"/>
    <n v="56000"/>
  </r>
  <r>
    <x v="45"/>
    <x v="2"/>
    <x v="0"/>
    <x v="0"/>
    <n v="4000"/>
    <n v="17"/>
    <n v="80000"/>
    <n v="1360000"/>
    <n v="1356000"/>
  </r>
  <r>
    <x v="56"/>
    <x v="3"/>
    <x v="1"/>
    <x v="1"/>
    <n v="4000"/>
    <n v="5"/>
    <n v="10000"/>
    <n v="50000"/>
    <n v="46000"/>
  </r>
  <r>
    <x v="47"/>
    <x v="0"/>
    <x v="3"/>
    <x v="0"/>
    <n v="21000"/>
    <n v="8"/>
    <n v="350000"/>
    <n v="2800000"/>
    <n v="2779000"/>
  </r>
  <r>
    <x v="12"/>
    <x v="2"/>
    <x v="4"/>
    <x v="5"/>
    <n v="21000"/>
    <n v="4"/>
    <n v="120000"/>
    <n v="480000"/>
    <n v="459000"/>
  </r>
  <r>
    <x v="82"/>
    <x v="2"/>
    <x v="1"/>
    <x v="2"/>
    <n v="21000"/>
    <n v="2"/>
    <n v="350000"/>
    <n v="700000"/>
    <n v="679000"/>
  </r>
  <r>
    <x v="83"/>
    <x v="2"/>
    <x v="1"/>
    <x v="2"/>
    <n v="21000"/>
    <n v="11"/>
    <n v="5000"/>
    <n v="55000"/>
    <n v="34000"/>
  </r>
  <r>
    <x v="84"/>
    <x v="3"/>
    <x v="4"/>
    <x v="2"/>
    <n v="21000"/>
    <n v="1"/>
    <n v="5000"/>
    <n v="5000"/>
    <n v="-1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5">
  <location ref="A1:B6" firstHeaderRow="1" firstDataRow="1" firstDataCol="1"/>
  <pivotFields count="11">
    <pivotField numFmtId="22" showAll="0">
      <items count="86">
        <item x="47"/>
        <item x="72"/>
        <item x="67"/>
        <item x="57"/>
        <item x="62"/>
        <item x="70"/>
        <item x="50"/>
        <item x="25"/>
        <item x="19"/>
        <item x="12"/>
        <item x="73"/>
        <item x="68"/>
        <item x="58"/>
        <item x="63"/>
        <item x="51"/>
        <item x="76"/>
        <item x="42"/>
        <item x="36"/>
        <item x="26"/>
        <item x="20"/>
        <item x="13"/>
        <item x="10"/>
        <item x="9"/>
        <item x="7"/>
        <item x="4"/>
        <item x="0"/>
        <item x="1"/>
        <item x="82"/>
        <item x="74"/>
        <item x="69"/>
        <item x="59"/>
        <item x="64"/>
        <item x="77"/>
        <item x="71"/>
        <item x="52"/>
        <item x="78"/>
        <item x="37"/>
        <item x="32"/>
        <item x="27"/>
        <item x="14"/>
        <item x="48"/>
        <item x="83"/>
        <item x="60"/>
        <item x="65"/>
        <item x="53"/>
        <item x="79"/>
        <item x="43"/>
        <item x="38"/>
        <item x="33"/>
        <item x="28"/>
        <item x="21"/>
        <item x="11"/>
        <item x="8"/>
        <item x="6"/>
        <item x="5"/>
        <item x="3"/>
        <item x="2"/>
        <item x="22"/>
        <item x="15"/>
        <item x="49"/>
        <item x="84"/>
        <item x="75"/>
        <item x="61"/>
        <item x="66"/>
        <item x="54"/>
        <item x="80"/>
        <item x="39"/>
        <item x="29"/>
        <item x="23"/>
        <item x="16"/>
        <item x="55"/>
        <item x="81"/>
        <item x="44"/>
        <item x="40"/>
        <item x="34"/>
        <item x="30"/>
        <item x="24"/>
        <item x="17"/>
        <item x="45"/>
        <item x="41"/>
        <item x="35"/>
        <item x="31"/>
        <item x="18"/>
        <item x="56"/>
        <item x="46"/>
        <item t="default"/>
      </items>
    </pivotField>
    <pivotField axis="axisRow" showAll="0">
      <items count="5">
        <item x="3"/>
        <item x="1"/>
        <item x="0"/>
        <item x="2"/>
        <item t="default"/>
      </items>
    </pivotField>
    <pivotField showAll="0">
      <items count="7">
        <item x="0"/>
        <item x="2"/>
        <item x="3"/>
        <item x="1"/>
        <item x="5"/>
        <item x="4"/>
        <item t="default"/>
      </items>
    </pivotField>
    <pivotField showAll="0">
      <items count="7">
        <item x="3"/>
        <item x="5"/>
        <item x="4"/>
        <item x="2"/>
        <item x="1"/>
        <item x="0"/>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5"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A57:C64" firstHeaderRow="0" firstDataRow="1" firstDataCol="1"/>
  <pivotFields count="11">
    <pivotField axis="axisRow" numFmtId="22" showAll="0">
      <items count="86">
        <item x="47"/>
        <item x="72"/>
        <item x="67"/>
        <item x="57"/>
        <item x="62"/>
        <item x="70"/>
        <item x="50"/>
        <item x="25"/>
        <item x="19"/>
        <item x="12"/>
        <item x="73"/>
        <item x="68"/>
        <item x="58"/>
        <item x="63"/>
        <item x="51"/>
        <item x="76"/>
        <item x="42"/>
        <item x="36"/>
        <item x="26"/>
        <item x="20"/>
        <item x="13"/>
        <item x="10"/>
        <item x="9"/>
        <item x="7"/>
        <item x="4"/>
        <item x="0"/>
        <item x="1"/>
        <item x="82"/>
        <item x="74"/>
        <item x="69"/>
        <item x="59"/>
        <item x="64"/>
        <item x="77"/>
        <item x="71"/>
        <item x="52"/>
        <item x="78"/>
        <item x="37"/>
        <item x="32"/>
        <item x="27"/>
        <item x="14"/>
        <item x="48"/>
        <item x="83"/>
        <item x="60"/>
        <item x="65"/>
        <item x="53"/>
        <item x="79"/>
        <item x="43"/>
        <item x="38"/>
        <item x="33"/>
        <item x="28"/>
        <item x="21"/>
        <item x="11"/>
        <item x="8"/>
        <item x="6"/>
        <item x="5"/>
        <item x="3"/>
        <item x="2"/>
        <item x="22"/>
        <item x="15"/>
        <item x="49"/>
        <item x="84"/>
        <item x="75"/>
        <item x="61"/>
        <item x="66"/>
        <item x="54"/>
        <item x="80"/>
        <item x="39"/>
        <item x="29"/>
        <item x="23"/>
        <item x="16"/>
        <item x="55"/>
        <item x="81"/>
        <item x="44"/>
        <item x="40"/>
        <item x="34"/>
        <item x="30"/>
        <item x="24"/>
        <item x="17"/>
        <item x="45"/>
        <item x="41"/>
        <item x="35"/>
        <item x="31"/>
        <item x="18"/>
        <item x="56"/>
        <item x="46"/>
        <item t="default"/>
      </items>
    </pivotField>
    <pivotField showAll="0">
      <items count="5">
        <item x="3"/>
        <item x="1"/>
        <item x="0"/>
        <item x="2"/>
        <item t="default"/>
      </items>
    </pivotField>
    <pivotField showAll="0">
      <items count="7">
        <item x="0"/>
        <item x="2"/>
        <item x="3"/>
        <item x="1"/>
        <item x="5"/>
        <item x="4"/>
        <item t="default"/>
      </items>
    </pivotField>
    <pivotField showAll="0">
      <items count="7">
        <item x="3"/>
        <item x="5"/>
        <item x="4"/>
        <item x="2"/>
        <item x="1"/>
        <item x="0"/>
        <item t="default"/>
      </items>
    </pivotField>
    <pivotField showAll="0"/>
    <pivotField showAll="0"/>
    <pivotField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0"/>
  </rowFields>
  <rowItems count="7">
    <i>
      <x v="1"/>
    </i>
    <i>
      <x v="2"/>
    </i>
    <i>
      <x v="3"/>
    </i>
    <i>
      <x v="4"/>
    </i>
    <i>
      <x v="5"/>
    </i>
    <i>
      <x v="6"/>
    </i>
    <i t="grand">
      <x/>
    </i>
  </rowItems>
  <colFields count="1">
    <field x="-2"/>
  </colFields>
  <colItems count="2">
    <i>
      <x/>
    </i>
    <i i="1">
      <x v="1"/>
    </i>
  </colItems>
  <dataFields count="2">
    <dataField name="Sum of Sales" fld="7" baseField="0" baseItem="0"/>
    <dataField name="Sum of profit" fld="8"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4"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A36:B43" firstHeaderRow="1" firstDataRow="1" firstDataCol="1"/>
  <pivotFields count="11">
    <pivotField numFmtId="22" showAll="0">
      <items count="86">
        <item x="47"/>
        <item x="72"/>
        <item x="67"/>
        <item x="57"/>
        <item x="62"/>
        <item x="70"/>
        <item x="50"/>
        <item x="25"/>
        <item x="19"/>
        <item x="12"/>
        <item x="73"/>
        <item x="68"/>
        <item x="58"/>
        <item x="63"/>
        <item x="51"/>
        <item x="76"/>
        <item x="42"/>
        <item x="36"/>
        <item x="26"/>
        <item x="20"/>
        <item x="13"/>
        <item x="10"/>
        <item x="9"/>
        <item x="7"/>
        <item x="4"/>
        <item x="0"/>
        <item x="1"/>
        <item x="82"/>
        <item x="74"/>
        <item x="69"/>
        <item x="59"/>
        <item x="64"/>
        <item x="77"/>
        <item x="71"/>
        <item x="52"/>
        <item x="78"/>
        <item x="37"/>
        <item x="32"/>
        <item x="27"/>
        <item x="14"/>
        <item x="48"/>
        <item x="83"/>
        <item x="60"/>
        <item x="65"/>
        <item x="53"/>
        <item x="79"/>
        <item x="43"/>
        <item x="38"/>
        <item x="33"/>
        <item x="28"/>
        <item x="21"/>
        <item x="11"/>
        <item x="8"/>
        <item x="6"/>
        <item x="5"/>
        <item x="3"/>
        <item x="2"/>
        <item x="22"/>
        <item x="15"/>
        <item x="49"/>
        <item x="84"/>
        <item x="75"/>
        <item x="61"/>
        <item x="66"/>
        <item x="54"/>
        <item x="80"/>
        <item x="39"/>
        <item x="29"/>
        <item x="23"/>
        <item x="16"/>
        <item x="55"/>
        <item x="81"/>
        <item x="44"/>
        <item x="40"/>
        <item x="34"/>
        <item x="30"/>
        <item x="24"/>
        <item x="17"/>
        <item x="45"/>
        <item x="41"/>
        <item x="35"/>
        <item x="31"/>
        <item x="18"/>
        <item x="56"/>
        <item x="46"/>
        <item t="default"/>
      </items>
    </pivotField>
    <pivotField showAll="0">
      <items count="5">
        <item x="3"/>
        <item x="1"/>
        <item x="0"/>
        <item x="2"/>
        <item t="default"/>
      </items>
    </pivotField>
    <pivotField showAll="0">
      <items count="7">
        <item x="0"/>
        <item x="2"/>
        <item x="3"/>
        <item x="1"/>
        <item x="5"/>
        <item x="4"/>
        <item t="default"/>
      </items>
    </pivotField>
    <pivotField axis="axisRow" showAll="0">
      <items count="7">
        <item x="3"/>
        <item x="5"/>
        <item x="4"/>
        <item x="2"/>
        <item x="1"/>
        <item x="0"/>
        <item t="default"/>
      </items>
    </pivotField>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Items count="1">
    <i/>
  </colItems>
  <dataFields count="1">
    <dataField name="Sum of Sales" fld="7" baseField="0" baseItem="0"/>
  </dataFields>
  <chartFormats count="7">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3" count="1" selected="0">
            <x v="0"/>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2"/>
          </reference>
        </references>
      </pivotArea>
    </chartFormat>
    <chartFormat chart="2" format="4">
      <pivotArea type="data" outline="0" fieldPosition="0">
        <references count="2">
          <reference field="4294967294" count="1" selected="0">
            <x v="0"/>
          </reference>
          <reference field="3" count="1" selected="0">
            <x v="3"/>
          </reference>
        </references>
      </pivotArea>
    </chartFormat>
    <chartFormat chart="2" format="5">
      <pivotArea type="data" outline="0" fieldPosition="0">
        <references count="2">
          <reference field="4294967294" count="1" selected="0">
            <x v="0"/>
          </reference>
          <reference field="3" count="1" selected="0">
            <x v="4"/>
          </reference>
        </references>
      </pivotArea>
    </chartFormat>
    <chartFormat chart="2"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2" applyNumberFormats="0" applyBorderFormats="0" applyFontFormats="0" applyPatternFormats="0" applyAlignmentFormats="0" applyWidthHeightFormats="1" dataCaption="Values" updatedVersion="8" minRefreshableVersion="3" useAutoFormatting="1" createdVersion="8" indent="0" outline="1" outlineData="1" multipleFieldFilters="0" chartFormat="3">
  <location ref="A19:B26" firstHeaderRow="1" firstDataRow="1" firstDataCol="1"/>
  <pivotFields count="11">
    <pivotField numFmtId="22" showAll="0">
      <items count="86">
        <item x="47"/>
        <item x="72"/>
        <item x="67"/>
        <item x="57"/>
        <item x="62"/>
        <item x="70"/>
        <item x="50"/>
        <item x="25"/>
        <item x="19"/>
        <item x="12"/>
        <item x="73"/>
        <item x="68"/>
        <item x="58"/>
        <item x="63"/>
        <item x="51"/>
        <item x="76"/>
        <item x="42"/>
        <item x="36"/>
        <item x="26"/>
        <item x="20"/>
        <item x="13"/>
        <item x="10"/>
        <item x="9"/>
        <item x="7"/>
        <item x="4"/>
        <item x="0"/>
        <item x="1"/>
        <item x="82"/>
        <item x="74"/>
        <item x="69"/>
        <item x="59"/>
        <item x="64"/>
        <item x="77"/>
        <item x="71"/>
        <item x="52"/>
        <item x="78"/>
        <item x="37"/>
        <item x="32"/>
        <item x="27"/>
        <item x="14"/>
        <item x="48"/>
        <item x="83"/>
        <item x="60"/>
        <item x="65"/>
        <item x="53"/>
        <item x="79"/>
        <item x="43"/>
        <item x="38"/>
        <item x="33"/>
        <item x="28"/>
        <item x="21"/>
        <item x="11"/>
        <item x="8"/>
        <item x="6"/>
        <item x="5"/>
        <item x="3"/>
        <item x="2"/>
        <item x="22"/>
        <item x="15"/>
        <item x="49"/>
        <item x="84"/>
        <item x="75"/>
        <item x="61"/>
        <item x="66"/>
        <item x="54"/>
        <item x="80"/>
        <item x="39"/>
        <item x="29"/>
        <item x="23"/>
        <item x="16"/>
        <item x="55"/>
        <item x="81"/>
        <item x="44"/>
        <item x="40"/>
        <item x="34"/>
        <item x="30"/>
        <item x="24"/>
        <item x="17"/>
        <item x="45"/>
        <item x="41"/>
        <item x="35"/>
        <item x="31"/>
        <item x="18"/>
        <item x="56"/>
        <item x="46"/>
        <item t="default"/>
      </items>
    </pivotField>
    <pivotField showAll="0">
      <items count="5">
        <item x="3"/>
        <item x="1"/>
        <item x="0"/>
        <item x="2"/>
        <item t="default"/>
      </items>
    </pivotField>
    <pivotField axis="axisRow" showAll="0" sortType="ascending">
      <items count="7">
        <item x="0"/>
        <item x="2"/>
        <item x="3"/>
        <item x="1"/>
        <item x="5"/>
        <item x="4"/>
        <item t="default"/>
      </items>
    </pivotField>
    <pivotField showAll="0">
      <items count="7">
        <item x="3"/>
        <item x="5"/>
        <item x="4"/>
        <item x="2"/>
        <item x="1"/>
        <item x="0"/>
        <item t="default"/>
      </items>
    </pivotField>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7">
    <i>
      <x/>
    </i>
    <i>
      <x v="1"/>
    </i>
    <i>
      <x v="2"/>
    </i>
    <i>
      <x v="3"/>
    </i>
    <i>
      <x v="4"/>
    </i>
    <i>
      <x v="5"/>
    </i>
    <i t="grand">
      <x/>
    </i>
  </rowItems>
  <colItems count="1">
    <i/>
  </colItems>
  <dataFields count="1">
    <dataField name="Sum of profit" fld="8"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C1D291-67D8-4123-A98A-7C6FB716DB0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60:D67" firstHeaderRow="0" firstDataRow="1" firstDataCol="1"/>
  <pivotFields count="11">
    <pivotField axis="axisRow" numFmtId="22" showAll="0">
      <items count="86">
        <item x="47"/>
        <item x="72"/>
        <item x="67"/>
        <item x="57"/>
        <item x="62"/>
        <item x="70"/>
        <item x="50"/>
        <item x="25"/>
        <item x="19"/>
        <item x="12"/>
        <item x="73"/>
        <item x="68"/>
        <item x="58"/>
        <item x="63"/>
        <item x="51"/>
        <item x="76"/>
        <item x="42"/>
        <item x="36"/>
        <item x="26"/>
        <item x="20"/>
        <item x="13"/>
        <item x="10"/>
        <item x="9"/>
        <item x="7"/>
        <item x="4"/>
        <item x="0"/>
        <item x="1"/>
        <item x="82"/>
        <item x="74"/>
        <item x="69"/>
        <item x="59"/>
        <item x="64"/>
        <item x="77"/>
        <item x="71"/>
        <item x="52"/>
        <item x="78"/>
        <item x="37"/>
        <item x="32"/>
        <item x="27"/>
        <item x="14"/>
        <item x="48"/>
        <item x="83"/>
        <item x="60"/>
        <item x="65"/>
        <item x="53"/>
        <item x="79"/>
        <item x="43"/>
        <item x="38"/>
        <item x="33"/>
        <item x="28"/>
        <item x="21"/>
        <item x="11"/>
        <item x="8"/>
        <item x="6"/>
        <item x="5"/>
        <item x="3"/>
        <item x="2"/>
        <item x="22"/>
        <item x="15"/>
        <item x="49"/>
        <item x="84"/>
        <item x="75"/>
        <item x="61"/>
        <item x="66"/>
        <item x="54"/>
        <item x="80"/>
        <item x="39"/>
        <item x="29"/>
        <item x="23"/>
        <item x="16"/>
        <item x="55"/>
        <item x="81"/>
        <item x="44"/>
        <item x="40"/>
        <item x="34"/>
        <item x="30"/>
        <item x="24"/>
        <item x="17"/>
        <item x="45"/>
        <item x="41"/>
        <item x="35"/>
        <item x="31"/>
        <item x="18"/>
        <item x="56"/>
        <item x="46"/>
        <item t="default"/>
      </items>
    </pivotField>
    <pivotField showAll="0">
      <items count="5">
        <item x="3"/>
        <item x="1"/>
        <item x="0"/>
        <item x="2"/>
        <item t="default"/>
      </items>
    </pivotField>
    <pivotField showAll="0"/>
    <pivotField showAll="0"/>
    <pivotField showAll="0"/>
    <pivotField showAll="0"/>
    <pivotField showAll="0"/>
    <pivotField dataField="1" showAll="0"/>
    <pivotField dataField="1"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0"/>
    <field x="9"/>
    <field x="0"/>
  </rowFields>
  <rowItems count="7">
    <i>
      <x v="1"/>
    </i>
    <i>
      <x v="2"/>
    </i>
    <i>
      <x v="3"/>
    </i>
    <i>
      <x v="4"/>
    </i>
    <i>
      <x v="5"/>
    </i>
    <i>
      <x v="6"/>
    </i>
    <i t="grand">
      <x/>
    </i>
  </rowItems>
  <colFields count="1">
    <field x="-2"/>
  </colFields>
  <colItems count="2">
    <i>
      <x/>
    </i>
    <i i="1">
      <x v="1"/>
    </i>
  </colItems>
  <dataFields count="2">
    <dataField name="Sum of Sales" fld="7" baseField="0" baseItem="0"/>
    <dataField name="Sum of profit" fld="8" baseField="0" baseItem="0"/>
  </dataFields>
  <chartFormats count="2">
    <chartFormat chart="5"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60A722-45DA-4316-8B72-EA97F70839BB}"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35:I41" firstHeaderRow="1" firstDataRow="2" firstDataCol="1"/>
  <pivotFields count="11">
    <pivotField numFmtId="22" showAll="0">
      <items count="86">
        <item x="47"/>
        <item x="72"/>
        <item x="67"/>
        <item x="57"/>
        <item x="62"/>
        <item x="70"/>
        <item x="50"/>
        <item x="25"/>
        <item x="19"/>
        <item x="12"/>
        <item x="73"/>
        <item x="68"/>
        <item x="58"/>
        <item x="63"/>
        <item x="51"/>
        <item x="76"/>
        <item x="42"/>
        <item x="36"/>
        <item x="26"/>
        <item x="20"/>
        <item x="13"/>
        <item x="10"/>
        <item x="9"/>
        <item x="7"/>
        <item x="4"/>
        <item x="0"/>
        <item x="1"/>
        <item x="82"/>
        <item x="74"/>
        <item x="69"/>
        <item x="59"/>
        <item x="64"/>
        <item x="77"/>
        <item x="71"/>
        <item x="52"/>
        <item x="78"/>
        <item x="37"/>
        <item x="32"/>
        <item x="27"/>
        <item x="14"/>
        <item x="48"/>
        <item x="83"/>
        <item x="60"/>
        <item x="65"/>
        <item x="53"/>
        <item x="79"/>
        <item x="43"/>
        <item x="38"/>
        <item x="33"/>
        <item x="28"/>
        <item x="21"/>
        <item x="11"/>
        <item x="8"/>
        <item x="6"/>
        <item x="5"/>
        <item x="3"/>
        <item x="2"/>
        <item x="22"/>
        <item x="15"/>
        <item x="49"/>
        <item x="84"/>
        <item x="75"/>
        <item x="61"/>
        <item x="66"/>
        <item x="54"/>
        <item x="80"/>
        <item x="39"/>
        <item x="29"/>
        <item x="23"/>
        <item x="16"/>
        <item x="55"/>
        <item x="81"/>
        <item x="44"/>
        <item x="40"/>
        <item x="34"/>
        <item x="30"/>
        <item x="24"/>
        <item x="17"/>
        <item x="45"/>
        <item x="41"/>
        <item x="35"/>
        <item x="31"/>
        <item x="18"/>
        <item x="56"/>
        <item x="46"/>
        <item t="default"/>
      </items>
    </pivotField>
    <pivotField axis="axisRow" showAll="0">
      <items count="5">
        <item x="3"/>
        <item x="1"/>
        <item x="0"/>
        <item x="2"/>
        <item t="default"/>
      </items>
    </pivotField>
    <pivotField showAll="0"/>
    <pivotField axis="axisCol" showAll="0">
      <items count="7">
        <item x="3"/>
        <item x="5"/>
        <item x="4"/>
        <item x="2"/>
        <item x="1"/>
        <item x="0"/>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3"/>
  </colFields>
  <colItems count="7">
    <i>
      <x/>
    </i>
    <i>
      <x v="1"/>
    </i>
    <i>
      <x v="2"/>
    </i>
    <i>
      <x v="3"/>
    </i>
    <i>
      <x v="4"/>
    </i>
    <i>
      <x v="5"/>
    </i>
    <i t="grand">
      <x/>
    </i>
  </colItems>
  <dataFields count="1">
    <dataField name="Sum of profit" fld="8" baseField="0" baseItem="0"/>
  </dataFields>
  <chartFormats count="6">
    <chartFormat chart="7" format="7" series="1">
      <pivotArea type="data" outline="0" fieldPosition="0">
        <references count="2">
          <reference field="4294967294" count="1" selected="0">
            <x v="0"/>
          </reference>
          <reference field="3" count="1" selected="0">
            <x v="0"/>
          </reference>
        </references>
      </pivotArea>
    </chartFormat>
    <chartFormat chart="7" format="8" series="1">
      <pivotArea type="data" outline="0" fieldPosition="0">
        <references count="2">
          <reference field="4294967294" count="1" selected="0">
            <x v="0"/>
          </reference>
          <reference field="3" count="1" selected="0">
            <x v="1"/>
          </reference>
        </references>
      </pivotArea>
    </chartFormat>
    <chartFormat chart="7" format="9" series="1">
      <pivotArea type="data" outline="0" fieldPosition="0">
        <references count="2">
          <reference field="4294967294" count="1" selected="0">
            <x v="0"/>
          </reference>
          <reference field="3" count="1" selected="0">
            <x v="2"/>
          </reference>
        </references>
      </pivotArea>
    </chartFormat>
    <chartFormat chart="7" format="10" series="1">
      <pivotArea type="data" outline="0" fieldPosition="0">
        <references count="2">
          <reference field="4294967294" count="1" selected="0">
            <x v="0"/>
          </reference>
          <reference field="3" count="1" selected="0">
            <x v="3"/>
          </reference>
        </references>
      </pivotArea>
    </chartFormat>
    <chartFormat chart="7" format="11" series="1">
      <pivotArea type="data" outline="0" fieldPosition="0">
        <references count="2">
          <reference field="4294967294" count="1" selected="0">
            <x v="0"/>
          </reference>
          <reference field="3" count="1" selected="0">
            <x v="4"/>
          </reference>
        </references>
      </pivotArea>
    </chartFormat>
    <chartFormat chart="7" format="12"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37E94F-E90A-49FF-8061-890EE959B103}"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8:D20" firstHeaderRow="1" firstDataRow="1" firstDataCol="1"/>
  <pivotFields count="11">
    <pivotField numFmtId="22" showAll="0">
      <items count="86">
        <item x="47"/>
        <item x="72"/>
        <item x="67"/>
        <item x="57"/>
        <item x="62"/>
        <item x="70"/>
        <item x="50"/>
        <item x="25"/>
        <item x="19"/>
        <item x="12"/>
        <item x="73"/>
        <item x="68"/>
        <item x="58"/>
        <item x="63"/>
        <item x="51"/>
        <item x="76"/>
        <item x="42"/>
        <item x="36"/>
        <item x="26"/>
        <item x="20"/>
        <item x="13"/>
        <item x="10"/>
        <item x="9"/>
        <item x="7"/>
        <item x="4"/>
        <item x="0"/>
        <item x="1"/>
        <item x="82"/>
        <item x="74"/>
        <item x="69"/>
        <item x="59"/>
        <item x="64"/>
        <item x="77"/>
        <item x="71"/>
        <item x="52"/>
        <item x="78"/>
        <item x="37"/>
        <item x="32"/>
        <item x="27"/>
        <item x="14"/>
        <item x="48"/>
        <item x="83"/>
        <item x="60"/>
        <item x="65"/>
        <item x="53"/>
        <item x="79"/>
        <item x="43"/>
        <item x="38"/>
        <item x="33"/>
        <item x="28"/>
        <item x="21"/>
        <item x="11"/>
        <item x="8"/>
        <item x="6"/>
        <item x="5"/>
        <item x="3"/>
        <item x="2"/>
        <item x="22"/>
        <item x="15"/>
        <item x="49"/>
        <item x="84"/>
        <item x="75"/>
        <item x="61"/>
        <item x="66"/>
        <item x="54"/>
        <item x="80"/>
        <item x="39"/>
        <item x="29"/>
        <item x="23"/>
        <item x="16"/>
        <item x="55"/>
        <item x="81"/>
        <item x="44"/>
        <item x="40"/>
        <item x="34"/>
        <item x="30"/>
        <item x="24"/>
        <item x="17"/>
        <item x="45"/>
        <item x="41"/>
        <item x="35"/>
        <item x="31"/>
        <item x="18"/>
        <item x="56"/>
        <item x="46"/>
        <item t="default"/>
      </items>
    </pivotField>
    <pivotField showAll="0"/>
    <pivotField axis="axisRow" showAll="0">
      <items count="7">
        <item h="1" x="0"/>
        <item h="1" x="2"/>
        <item h="1" x="3"/>
        <item h="1" x="1"/>
        <item h="1" x="5"/>
        <item x="4"/>
        <item t="default"/>
      </items>
    </pivotField>
    <pivotField showAll="0">
      <items count="7">
        <item h="1" x="3"/>
        <item h="1" x="5"/>
        <item h="1" x="4"/>
        <item h="1" x="2"/>
        <item x="1"/>
        <item h="1" x="0"/>
        <item t="default"/>
      </items>
    </pivotField>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
    <i>
      <x v="5"/>
    </i>
    <i t="grand">
      <x/>
    </i>
  </rowItems>
  <colItems count="1">
    <i/>
  </colItems>
  <dataFields count="1">
    <dataField name="Sum of profit" fld="8" baseField="0" baseItem="0"/>
  </dataField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497B91-DA5F-4E57-9334-F307ED31AC1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C6" firstHeaderRow="0" firstDataRow="1" firstDataCol="1"/>
  <pivotFields count="11">
    <pivotField numFmtId="22" showAll="0">
      <items count="86">
        <item x="47"/>
        <item x="72"/>
        <item x="67"/>
        <item x="57"/>
        <item x="62"/>
        <item x="70"/>
        <item x="50"/>
        <item x="25"/>
        <item x="19"/>
        <item x="12"/>
        <item x="73"/>
        <item x="68"/>
        <item x="58"/>
        <item x="63"/>
        <item x="51"/>
        <item x="76"/>
        <item x="42"/>
        <item x="36"/>
        <item x="26"/>
        <item x="20"/>
        <item x="13"/>
        <item x="10"/>
        <item x="9"/>
        <item x="7"/>
        <item x="4"/>
        <item x="0"/>
        <item x="1"/>
        <item x="82"/>
        <item x="74"/>
        <item x="69"/>
        <item x="59"/>
        <item x="64"/>
        <item x="77"/>
        <item x="71"/>
        <item x="52"/>
        <item x="78"/>
        <item x="37"/>
        <item x="32"/>
        <item x="27"/>
        <item x="14"/>
        <item x="48"/>
        <item x="83"/>
        <item x="60"/>
        <item x="65"/>
        <item x="53"/>
        <item x="79"/>
        <item x="43"/>
        <item x="38"/>
        <item x="33"/>
        <item x="28"/>
        <item x="21"/>
        <item x="11"/>
        <item x="8"/>
        <item x="6"/>
        <item x="5"/>
        <item x="3"/>
        <item x="2"/>
        <item x="22"/>
        <item x="15"/>
        <item x="49"/>
        <item x="84"/>
        <item x="75"/>
        <item x="61"/>
        <item x="66"/>
        <item x="54"/>
        <item x="80"/>
        <item x="39"/>
        <item x="29"/>
        <item x="23"/>
        <item x="16"/>
        <item x="55"/>
        <item x="81"/>
        <item x="44"/>
        <item x="40"/>
        <item x="34"/>
        <item x="30"/>
        <item x="24"/>
        <item x="17"/>
        <item x="45"/>
        <item x="41"/>
        <item x="35"/>
        <item x="31"/>
        <item x="18"/>
        <item x="56"/>
        <item x="46"/>
        <item t="default"/>
      </items>
    </pivotField>
    <pivotField axis="axisRow" showAll="0">
      <items count="5">
        <item x="3"/>
        <item x="1"/>
        <item x="0"/>
        <item x="2"/>
        <item t="default"/>
      </items>
    </pivotField>
    <pivotField showAll="0"/>
    <pivotField showAll="0"/>
    <pivotField showAll="0"/>
    <pivotField showAll="0"/>
    <pivotField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2"/>
  </colFields>
  <colItems count="2">
    <i>
      <x/>
    </i>
    <i i="1">
      <x v="1"/>
    </i>
  </colItems>
  <dataFields count="2">
    <dataField name="Sum of Sales" fld="7" baseField="0" baseItem="0"/>
    <dataField name="Sum of profit" fld="8" baseField="0" baseItem="0"/>
  </dataFields>
  <chartFormats count="2">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1000000}" sourceName="Product">
  <pivotTables>
    <pivotTable tabId="4" name="PivotTable2"/>
    <pivotTable tabId="4" name="PivotTable3"/>
    <pivotTable tabId="4" name="PivotTable4"/>
    <pivotTable tabId="4" name="PivotTable5"/>
  </pivotTables>
  <data>
    <tabular pivotCacheId="1">
      <items count="6">
        <i x="3" s="1"/>
        <i x="5" s="1"/>
        <i x="4"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0000000-0013-0000-FFFF-FFFF02000000}" sourceName="Salesperson">
  <pivotTables>
    <pivotTable tabId="4" name="PivotTable2"/>
    <pivotTable tabId="4" name="PivotTable3"/>
    <pivotTable tabId="4" name="PivotTable4"/>
    <pivotTable tabId="4" name="PivotTable5"/>
  </pivotTables>
  <data>
    <tabular pivotCacheId="1">
      <items count="6">
        <i x="0" s="1"/>
        <i x="2" s="1"/>
        <i x="3" s="1"/>
        <i x="1"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4" name="PivotTable2"/>
    <pivotTable tabId="4" name="PivotTable3"/>
    <pivotTable tabId="4" name="PivotTable4"/>
    <pivotTable tabId="4" name="PivotTable5"/>
  </pivotTables>
  <data>
    <tabular pivotCacheId="1">
      <items count="4">
        <i x="3" s="1"/>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D7EF727-BF86-4F1B-BD6C-F06597CCA4A0}" sourceName="Region">
  <pivotTables>
    <pivotTable tabId="6" name="PivotTable5"/>
  </pivotTables>
  <data>
    <tabular pivotCacheId="1">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1" xr10:uid="{E0C7542B-1B85-4A19-97B0-37A7395547B2}" sourceName="Salesperson">
  <pivotTables>
    <pivotTable tabId="6" name="PivotTable3"/>
  </pivotTables>
  <data>
    <tabular pivotCacheId="1">
      <items count="6">
        <i x="0"/>
        <i x="2"/>
        <i x="3"/>
        <i x="1"/>
        <i x="5"/>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AA695D4F-B868-45E5-86CD-00710A4A3BF4}" sourceName="Product">
  <pivotTables>
    <pivotTable tabId="6" name="PivotTable3"/>
  </pivotTables>
  <data>
    <tabular pivotCacheId="1">
      <items count="6">
        <i x="3"/>
        <i x="5"/>
        <i x="4"/>
        <i x="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0000000-0014-0000-FFFF-FFFF03000000}" cache="Slicer_Product" caption="Product" rowHeight="251883"/>
  <slicer name="Salesperson" xr10:uid="{00000000-0014-0000-FFFF-FFFF02000000}" cache="Slicer_Salesperson" caption="Salesperson" rowHeight="251883"/>
  <slicer name="Region" xr10:uid="{00000000-0014-0000-FFFF-FFFF01000000}" cache="Slicer_Region" caption="Regi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9059F89-6CC0-42D1-A921-ACD849B3A316}" cache="Slicer_Region1" caption="Region" rowHeight="251883"/>
  <slicer name="Salesperson 1" xr10:uid="{EAC682E8-FF97-4639-B049-EB2548F4995C}" cache="Slicer_Salesperson1" caption="Salesperson" rowHeight="251883"/>
  <slicer name="Product 1" xr10:uid="{AF82E961-14B3-4EE6-9B16-CDB5393BDE58}" cache="Slicer_Product1" caption="Product"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2"/>
  <sheetViews>
    <sheetView showGridLines="0" zoomScale="48" zoomScaleNormal="48" workbookViewId="0">
      <selection activeCell="A4" sqref="A4:XFD1048576"/>
    </sheetView>
  </sheetViews>
  <sheetFormatPr defaultColWidth="8.7265625" defaultRowHeight="14" x14ac:dyDescent="0.25"/>
  <cols>
    <col min="1" max="12" width="8.7265625" style="15"/>
    <col min="13" max="13" width="36" style="15" customWidth="1"/>
    <col min="14" max="16384" width="8.7265625" style="15"/>
  </cols>
  <sheetData>
    <row r="1" spans="1:13" s="16" customFormat="1" ht="14.5" customHeight="1" x14ac:dyDescent="0.45">
      <c r="A1" s="4"/>
      <c r="B1" s="5"/>
      <c r="C1" s="5"/>
      <c r="D1" s="5"/>
      <c r="E1" s="5"/>
      <c r="F1" s="5"/>
      <c r="G1" s="5"/>
      <c r="H1" s="5"/>
      <c r="I1" s="5"/>
      <c r="J1" s="5"/>
      <c r="K1" s="5"/>
      <c r="L1" s="5"/>
      <c r="M1" s="5"/>
    </row>
    <row r="2" spans="1:13" s="16" customFormat="1" ht="27.5" x14ac:dyDescent="0.45">
      <c r="A2" s="5"/>
      <c r="B2" s="5"/>
      <c r="C2" s="5"/>
      <c r="D2" s="5"/>
      <c r="E2" s="5"/>
      <c r="F2" s="3"/>
      <c r="G2" s="6" t="s">
        <v>0</v>
      </c>
      <c r="H2" s="5"/>
      <c r="I2" s="6"/>
      <c r="J2" s="6"/>
      <c r="K2" s="6"/>
      <c r="L2" s="5"/>
      <c r="M2" s="5"/>
    </row>
    <row r="3" spans="1:13" s="16" customFormat="1" x14ac:dyDescent="0.25">
      <c r="A3" s="5"/>
      <c r="B3" s="5"/>
      <c r="C3" s="5"/>
      <c r="D3" s="5"/>
      <c r="E3" s="5"/>
      <c r="F3" s="5"/>
      <c r="G3" s="5"/>
      <c r="H3" s="5"/>
      <c r="I3" s="5"/>
      <c r="J3" s="5"/>
      <c r="K3" s="5"/>
      <c r="L3" s="5"/>
      <c r="M3" s="5"/>
    </row>
    <row r="4" spans="1:13" x14ac:dyDescent="0.25">
      <c r="A4" s="14">
        <f>SUM(HP_Nigeria_Sales_Data.xlsx!H12)</f>
        <v>20000</v>
      </c>
    </row>
    <row r="122" spans="8:8" x14ac:dyDescent="0.25">
      <c r="H122" s="14" t="e" cm="1">
        <f t="array" aca="1" ref="H122" ca="1">HP_Nigeria_Sales_Data.xlsx!H12(HP_Nigeria_Sales_Data.xlsx!H122)</f>
        <v>#REF!</v>
      </c>
    </row>
  </sheetData>
  <mergeCells count="2">
    <mergeCell ref="A4:XFD1048576"/>
    <mergeCell ref="N1:XFD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4"/>
  <sheetViews>
    <sheetView zoomScale="84" zoomScaleNormal="84" workbookViewId="0">
      <selection activeCell="B20" sqref="B20"/>
    </sheetView>
  </sheetViews>
  <sheetFormatPr defaultColWidth="9" defaultRowHeight="14" x14ac:dyDescent="0.25"/>
  <cols>
    <col min="1" max="1" width="15.54296875" bestFit="1" customWidth="1"/>
    <col min="2" max="3" width="16.54296875" bestFit="1" customWidth="1"/>
  </cols>
  <sheetData>
    <row r="1" spans="1:2" x14ac:dyDescent="0.25">
      <c r="A1" s="7" t="s">
        <v>1</v>
      </c>
      <c r="B1" t="s">
        <v>2</v>
      </c>
    </row>
    <row r="2" spans="1:2" x14ac:dyDescent="0.25">
      <c r="A2" s="2" t="s">
        <v>3</v>
      </c>
      <c r="B2">
        <v>28850000</v>
      </c>
    </row>
    <row r="3" spans="1:2" x14ac:dyDescent="0.25">
      <c r="A3" s="2" t="s">
        <v>4</v>
      </c>
      <c r="B3">
        <v>26320000</v>
      </c>
    </row>
    <row r="4" spans="1:2" x14ac:dyDescent="0.25">
      <c r="A4" s="2" t="s">
        <v>5</v>
      </c>
      <c r="B4">
        <v>22220000</v>
      </c>
    </row>
    <row r="5" spans="1:2" x14ac:dyDescent="0.25">
      <c r="A5" s="2" t="s">
        <v>6</v>
      </c>
      <c r="B5">
        <v>22835000</v>
      </c>
    </row>
    <row r="6" spans="1:2" x14ac:dyDescent="0.25">
      <c r="A6" s="2" t="s">
        <v>7</v>
      </c>
      <c r="B6">
        <v>100225000</v>
      </c>
    </row>
    <row r="19" spans="1:2" x14ac:dyDescent="0.25">
      <c r="A19" s="7" t="s">
        <v>1</v>
      </c>
      <c r="B19" t="s">
        <v>8</v>
      </c>
    </row>
    <row r="20" spans="1:2" x14ac:dyDescent="0.25">
      <c r="A20" s="2" t="s">
        <v>9</v>
      </c>
      <c r="B20">
        <v>10585193</v>
      </c>
    </row>
    <row r="21" spans="1:2" x14ac:dyDescent="0.25">
      <c r="A21" s="2" t="s">
        <v>31</v>
      </c>
      <c r="B21">
        <v>15696626</v>
      </c>
    </row>
    <row r="22" spans="1:2" x14ac:dyDescent="0.25">
      <c r="A22" s="2" t="s">
        <v>10</v>
      </c>
      <c r="B22">
        <v>17340349</v>
      </c>
    </row>
    <row r="23" spans="1:2" x14ac:dyDescent="0.25">
      <c r="A23" s="2" t="s">
        <v>11</v>
      </c>
      <c r="B23">
        <v>21246209</v>
      </c>
    </row>
    <row r="24" spans="1:2" x14ac:dyDescent="0.25">
      <c r="A24" s="2" t="s">
        <v>12</v>
      </c>
      <c r="B24">
        <v>13648860</v>
      </c>
    </row>
    <row r="25" spans="1:2" x14ac:dyDescent="0.25">
      <c r="A25" s="2" t="s">
        <v>13</v>
      </c>
      <c r="B25">
        <v>21311516</v>
      </c>
    </row>
    <row r="26" spans="1:2" x14ac:dyDescent="0.25">
      <c r="A26" s="2" t="s">
        <v>7</v>
      </c>
      <c r="B26">
        <v>99828753</v>
      </c>
    </row>
    <row r="36" spans="1:2" x14ac:dyDescent="0.25">
      <c r="A36" s="7" t="s">
        <v>1</v>
      </c>
      <c r="B36" t="s">
        <v>2</v>
      </c>
    </row>
    <row r="37" spans="1:2" x14ac:dyDescent="0.25">
      <c r="A37" s="2" t="s">
        <v>14</v>
      </c>
      <c r="B37">
        <v>19480000</v>
      </c>
    </row>
    <row r="38" spans="1:2" x14ac:dyDescent="0.25">
      <c r="A38" s="2" t="s">
        <v>34</v>
      </c>
      <c r="B38">
        <v>12540000</v>
      </c>
    </row>
    <row r="39" spans="1:2" x14ac:dyDescent="0.25">
      <c r="A39" s="2" t="s">
        <v>33</v>
      </c>
      <c r="B39">
        <v>14775000</v>
      </c>
    </row>
    <row r="40" spans="1:2" x14ac:dyDescent="0.25">
      <c r="A40" s="2" t="s">
        <v>32</v>
      </c>
      <c r="B40">
        <v>13620000</v>
      </c>
    </row>
    <row r="41" spans="1:2" x14ac:dyDescent="0.25">
      <c r="A41" s="2" t="s">
        <v>30</v>
      </c>
      <c r="B41">
        <v>21655000</v>
      </c>
    </row>
    <row r="42" spans="1:2" x14ac:dyDescent="0.25">
      <c r="A42" s="2" t="s">
        <v>29</v>
      </c>
      <c r="B42">
        <v>18155000</v>
      </c>
    </row>
    <row r="43" spans="1:2" x14ac:dyDescent="0.25">
      <c r="A43" s="2" t="s">
        <v>7</v>
      </c>
      <c r="B43">
        <v>100225000</v>
      </c>
    </row>
    <row r="57" spans="1:3" x14ac:dyDescent="0.25">
      <c r="A57" s="7" t="s">
        <v>1</v>
      </c>
      <c r="B57" t="s">
        <v>2</v>
      </c>
      <c r="C57" t="s">
        <v>8</v>
      </c>
    </row>
    <row r="58" spans="1:3" x14ac:dyDescent="0.25">
      <c r="A58" s="2" t="s">
        <v>15</v>
      </c>
      <c r="B58">
        <v>27950000</v>
      </c>
      <c r="C58">
        <v>27871887</v>
      </c>
    </row>
    <row r="59" spans="1:3" x14ac:dyDescent="0.25">
      <c r="A59" s="2" t="s">
        <v>16</v>
      </c>
      <c r="B59">
        <v>29270000</v>
      </c>
      <c r="C59">
        <v>29161085</v>
      </c>
    </row>
    <row r="60" spans="1:3" x14ac:dyDescent="0.25">
      <c r="A60" s="2" t="s">
        <v>17</v>
      </c>
      <c r="B60">
        <v>17985000</v>
      </c>
      <c r="C60">
        <v>17924187</v>
      </c>
    </row>
    <row r="61" spans="1:3" x14ac:dyDescent="0.25">
      <c r="A61" s="2" t="s">
        <v>18</v>
      </c>
      <c r="B61">
        <v>10235000</v>
      </c>
      <c r="C61">
        <v>10169482</v>
      </c>
    </row>
    <row r="62" spans="1:3" x14ac:dyDescent="0.25">
      <c r="A62" s="2" t="s">
        <v>19</v>
      </c>
      <c r="B62">
        <v>8920000</v>
      </c>
      <c r="C62">
        <v>8862605</v>
      </c>
    </row>
    <row r="63" spans="1:3" x14ac:dyDescent="0.25">
      <c r="A63" s="2" t="s">
        <v>35</v>
      </c>
      <c r="B63">
        <v>5865000</v>
      </c>
      <c r="C63">
        <v>5839507</v>
      </c>
    </row>
    <row r="64" spans="1:3" x14ac:dyDescent="0.25">
      <c r="A64" s="2" t="s">
        <v>7</v>
      </c>
      <c r="B64">
        <v>100225000</v>
      </c>
      <c r="C64">
        <v>99828753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EF64D-D166-4700-B120-90ECCF94444A}">
  <dimension ref="A1:I67"/>
  <sheetViews>
    <sheetView topLeftCell="B67" workbookViewId="0">
      <selection activeCell="L70" sqref="L70"/>
    </sheetView>
  </sheetViews>
  <sheetFormatPr defaultRowHeight="14" x14ac:dyDescent="0.25"/>
  <cols>
    <col min="1" max="1" width="14" bestFit="1" customWidth="1"/>
    <col min="2" max="2" width="12.453125" bestFit="1" customWidth="1"/>
    <col min="3" max="3" width="14" bestFit="1" customWidth="1"/>
    <col min="4" max="4" width="15.08984375" bestFit="1" customWidth="1"/>
    <col min="5" max="8" width="9.54296875" bestFit="1" customWidth="1"/>
    <col min="9" max="9" width="12.90625" bestFit="1" customWidth="1"/>
  </cols>
  <sheetData>
    <row r="1" spans="1:3" x14ac:dyDescent="0.25">
      <c r="A1" s="7" t="s">
        <v>1</v>
      </c>
      <c r="B1" t="s">
        <v>2</v>
      </c>
      <c r="C1" t="s">
        <v>8</v>
      </c>
    </row>
    <row r="2" spans="1:3" x14ac:dyDescent="0.25">
      <c r="A2" s="2" t="s">
        <v>3</v>
      </c>
      <c r="B2">
        <v>28850000</v>
      </c>
      <c r="C2">
        <v>28765605</v>
      </c>
    </row>
    <row r="3" spans="1:3" x14ac:dyDescent="0.25">
      <c r="A3" s="2" t="s">
        <v>4</v>
      </c>
      <c r="B3">
        <v>26320000</v>
      </c>
      <c r="C3">
        <v>26212554</v>
      </c>
    </row>
    <row r="4" spans="1:3" x14ac:dyDescent="0.25">
      <c r="A4" s="2" t="s">
        <v>5</v>
      </c>
      <c r="B4">
        <v>22220000</v>
      </c>
      <c r="C4">
        <v>22145162</v>
      </c>
    </row>
    <row r="5" spans="1:3" x14ac:dyDescent="0.25">
      <c r="A5" s="2" t="s">
        <v>6</v>
      </c>
      <c r="B5">
        <v>22835000</v>
      </c>
      <c r="C5">
        <v>22705432</v>
      </c>
    </row>
    <row r="6" spans="1:3" x14ac:dyDescent="0.25">
      <c r="A6" s="2" t="s">
        <v>7</v>
      </c>
      <c r="B6">
        <v>100225000</v>
      </c>
      <c r="C6">
        <v>99828753</v>
      </c>
    </row>
    <row r="18" spans="3:4" x14ac:dyDescent="0.25">
      <c r="C18" s="7" t="s">
        <v>1</v>
      </c>
      <c r="D18" t="s">
        <v>8</v>
      </c>
    </row>
    <row r="19" spans="3:4" x14ac:dyDescent="0.25">
      <c r="C19" s="2" t="s">
        <v>13</v>
      </c>
      <c r="D19" s="17">
        <v>1147418</v>
      </c>
    </row>
    <row r="20" spans="3:4" x14ac:dyDescent="0.25">
      <c r="C20" s="2" t="s">
        <v>7</v>
      </c>
      <c r="D20" s="17">
        <v>1147418</v>
      </c>
    </row>
    <row r="35" spans="2:9" x14ac:dyDescent="0.25">
      <c r="B35" s="7" t="s">
        <v>8</v>
      </c>
      <c r="C35" s="7" t="s">
        <v>36</v>
      </c>
    </row>
    <row r="36" spans="2:9" x14ac:dyDescent="0.25">
      <c r="B36" s="7" t="s">
        <v>1</v>
      </c>
      <c r="C36" t="s">
        <v>14</v>
      </c>
      <c r="D36" t="s">
        <v>34</v>
      </c>
      <c r="E36" t="s">
        <v>33</v>
      </c>
      <c r="F36" t="s">
        <v>32</v>
      </c>
      <c r="G36" t="s">
        <v>30</v>
      </c>
      <c r="H36" t="s">
        <v>29</v>
      </c>
      <c r="I36" t="s">
        <v>7</v>
      </c>
    </row>
    <row r="37" spans="2:9" x14ac:dyDescent="0.25">
      <c r="B37" s="2" t="s">
        <v>3</v>
      </c>
      <c r="C37">
        <v>7267470</v>
      </c>
      <c r="D37">
        <v>83718</v>
      </c>
      <c r="E37">
        <v>4144486</v>
      </c>
      <c r="F37">
        <v>4959673</v>
      </c>
      <c r="G37">
        <v>2800837</v>
      </c>
      <c r="H37">
        <v>9509421</v>
      </c>
      <c r="I37">
        <v>28765605</v>
      </c>
    </row>
    <row r="38" spans="2:9" x14ac:dyDescent="0.25">
      <c r="B38" s="2" t="s">
        <v>4</v>
      </c>
      <c r="C38">
        <v>1341923</v>
      </c>
      <c r="D38">
        <v>6748104</v>
      </c>
      <c r="E38">
        <v>6177789</v>
      </c>
      <c r="F38">
        <v>1494274</v>
      </c>
      <c r="G38">
        <v>9991611</v>
      </c>
      <c r="H38">
        <v>458853</v>
      </c>
      <c r="I38">
        <v>26212554</v>
      </c>
    </row>
    <row r="39" spans="2:9" x14ac:dyDescent="0.25">
      <c r="B39" s="2" t="s">
        <v>5</v>
      </c>
      <c r="C39">
        <v>9283850</v>
      </c>
      <c r="D39">
        <v>4324700</v>
      </c>
      <c r="E39">
        <v>330636</v>
      </c>
      <c r="F39">
        <v>3353468</v>
      </c>
      <c r="G39">
        <v>131469</v>
      </c>
      <c r="H39">
        <v>4721039</v>
      </c>
      <c r="I39">
        <v>22145162</v>
      </c>
    </row>
    <row r="40" spans="2:9" x14ac:dyDescent="0.25">
      <c r="B40" s="2" t="s">
        <v>6</v>
      </c>
      <c r="C40">
        <v>1537407</v>
      </c>
      <c r="D40">
        <v>1333051</v>
      </c>
      <c r="E40">
        <v>4073218</v>
      </c>
      <c r="F40">
        <v>3692138</v>
      </c>
      <c r="G40">
        <v>8668200</v>
      </c>
      <c r="H40">
        <v>3401418</v>
      </c>
      <c r="I40">
        <v>22705432</v>
      </c>
    </row>
    <row r="41" spans="2:9" x14ac:dyDescent="0.25">
      <c r="B41" s="2" t="s">
        <v>7</v>
      </c>
      <c r="C41">
        <v>19430650</v>
      </c>
      <c r="D41">
        <v>12489573</v>
      </c>
      <c r="E41">
        <v>14726129</v>
      </c>
      <c r="F41">
        <v>13499553</v>
      </c>
      <c r="G41">
        <v>21592117</v>
      </c>
      <c r="H41">
        <v>18090731</v>
      </c>
      <c r="I41">
        <v>99828753</v>
      </c>
    </row>
    <row r="60" spans="2:4" x14ac:dyDescent="0.25">
      <c r="B60" s="7" t="s">
        <v>1</v>
      </c>
      <c r="C60" t="s">
        <v>2</v>
      </c>
      <c r="D60" t="s">
        <v>8</v>
      </c>
    </row>
    <row r="61" spans="2:4" x14ac:dyDescent="0.25">
      <c r="B61" s="2" t="s">
        <v>15</v>
      </c>
      <c r="C61">
        <v>27950000</v>
      </c>
      <c r="D61">
        <v>27871887</v>
      </c>
    </row>
    <row r="62" spans="2:4" x14ac:dyDescent="0.25">
      <c r="B62" s="2" t="s">
        <v>16</v>
      </c>
      <c r="C62">
        <v>29270000</v>
      </c>
      <c r="D62">
        <v>29161085</v>
      </c>
    </row>
    <row r="63" spans="2:4" x14ac:dyDescent="0.25">
      <c r="B63" s="2" t="s">
        <v>17</v>
      </c>
      <c r="C63">
        <v>17985000</v>
      </c>
      <c r="D63">
        <v>17924187</v>
      </c>
    </row>
    <row r="64" spans="2:4" x14ac:dyDescent="0.25">
      <c r="B64" s="2" t="s">
        <v>18</v>
      </c>
      <c r="C64">
        <v>10235000</v>
      </c>
      <c r="D64">
        <v>10169482</v>
      </c>
    </row>
    <row r="65" spans="2:4" x14ac:dyDescent="0.25">
      <c r="B65" s="2" t="s">
        <v>19</v>
      </c>
      <c r="C65">
        <v>8920000</v>
      </c>
      <c r="D65">
        <v>8862605</v>
      </c>
    </row>
    <row r="66" spans="2:4" x14ac:dyDescent="0.25">
      <c r="B66" s="2" t="s">
        <v>35</v>
      </c>
      <c r="C66">
        <v>5865000</v>
      </c>
      <c r="D66">
        <v>5839507</v>
      </c>
    </row>
    <row r="67" spans="2:4" x14ac:dyDescent="0.25">
      <c r="B67" s="2" t="s">
        <v>7</v>
      </c>
      <c r="C67">
        <v>100225000</v>
      </c>
      <c r="D67">
        <v>99828753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C90-EF28-49CF-9764-35B4FFFC100F}">
  <dimension ref="A1:N5"/>
  <sheetViews>
    <sheetView showGridLines="0" tabSelected="1" zoomScale="63" zoomScaleNormal="63" workbookViewId="0">
      <selection activeCell="X7" sqref="X7"/>
    </sheetView>
  </sheetViews>
  <sheetFormatPr defaultRowHeight="14" x14ac:dyDescent="0.25"/>
  <sheetData>
    <row r="1" spans="1:14" x14ac:dyDescent="0.25">
      <c r="A1" s="11"/>
      <c r="B1" s="11"/>
      <c r="C1" s="11"/>
      <c r="D1" s="11"/>
      <c r="E1" s="11"/>
      <c r="F1" s="11"/>
      <c r="G1" s="11"/>
      <c r="H1" s="11"/>
      <c r="I1" s="11"/>
      <c r="J1" s="11"/>
      <c r="K1" s="11"/>
      <c r="L1" s="11"/>
      <c r="M1" s="11"/>
      <c r="N1" s="11"/>
    </row>
    <row r="2" spans="1:14" x14ac:dyDescent="0.25">
      <c r="A2" s="11"/>
      <c r="B2" s="11"/>
      <c r="C2" s="11"/>
      <c r="D2" s="11"/>
      <c r="E2" s="11"/>
      <c r="F2" s="11"/>
      <c r="G2" s="11"/>
      <c r="H2" s="11"/>
      <c r="I2" s="11"/>
      <c r="J2" s="11"/>
      <c r="K2" s="11"/>
      <c r="L2" s="11"/>
      <c r="M2" s="11"/>
      <c r="N2" s="11"/>
    </row>
    <row r="3" spans="1:14" x14ac:dyDescent="0.25">
      <c r="A3" s="11"/>
      <c r="B3" s="11"/>
      <c r="C3" s="11"/>
      <c r="D3" s="11"/>
      <c r="E3" s="11"/>
      <c r="F3" s="11"/>
      <c r="G3" s="11"/>
      <c r="H3" s="11"/>
      <c r="I3" s="11"/>
      <c r="J3" s="11"/>
      <c r="K3" s="11"/>
      <c r="L3" s="11"/>
      <c r="M3" s="11"/>
      <c r="N3" s="11"/>
    </row>
    <row r="4" spans="1:14" ht="23" x14ac:dyDescent="0.55000000000000004">
      <c r="A4" s="11"/>
      <c r="B4" s="11"/>
      <c r="C4" s="11"/>
      <c r="D4" s="11"/>
      <c r="E4" s="12" t="s">
        <v>37</v>
      </c>
      <c r="F4" s="12"/>
      <c r="G4" s="13"/>
      <c r="H4" s="13"/>
      <c r="I4" s="11"/>
      <c r="J4" s="11"/>
      <c r="K4" s="11"/>
      <c r="L4" s="11"/>
      <c r="M4" s="11"/>
      <c r="N4" s="11"/>
    </row>
    <row r="5" spans="1:14" x14ac:dyDescent="0.25">
      <c r="A5" s="11"/>
      <c r="B5" s="11"/>
      <c r="C5" s="11"/>
      <c r="D5" s="11"/>
      <c r="E5" s="11"/>
      <c r="F5" s="11"/>
      <c r="G5" s="11"/>
      <c r="H5" s="11"/>
      <c r="I5" s="11"/>
      <c r="J5" s="11"/>
      <c r="K5" s="11"/>
      <c r="L5" s="11"/>
      <c r="M5" s="11"/>
      <c r="N5"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1"/>
  <sheetViews>
    <sheetView zoomScale="92" zoomScaleNormal="92" workbookViewId="0">
      <selection activeCell="E10" sqref="E10"/>
    </sheetView>
  </sheetViews>
  <sheetFormatPr defaultColWidth="9" defaultRowHeight="14" x14ac:dyDescent="0.25"/>
  <cols>
    <col min="1" max="1" width="14.90625" bestFit="1" customWidth="1"/>
    <col min="8" max="8" width="15.81640625" style="10" customWidth="1"/>
    <col min="9" max="9" width="13.81640625" style="10" customWidth="1"/>
    <col min="11" max="11" width="18" bestFit="1" customWidth="1"/>
    <col min="12" max="12" width="17" bestFit="1" customWidth="1"/>
    <col min="13" max="13" width="15.90625" bestFit="1" customWidth="1"/>
  </cols>
  <sheetData>
    <row r="1" spans="1:9" x14ac:dyDescent="0.25">
      <c r="A1" s="8" t="s">
        <v>20</v>
      </c>
      <c r="B1" s="8" t="s">
        <v>21</v>
      </c>
      <c r="C1" s="8" t="s">
        <v>22</v>
      </c>
      <c r="D1" s="8" t="s">
        <v>23</v>
      </c>
      <c r="E1" s="8" t="s">
        <v>24</v>
      </c>
      <c r="F1" s="8" t="s">
        <v>25</v>
      </c>
      <c r="G1" s="8" t="s">
        <v>26</v>
      </c>
      <c r="H1" s="9" t="s">
        <v>27</v>
      </c>
      <c r="I1" s="9" t="s">
        <v>28</v>
      </c>
    </row>
    <row r="2" spans="1:9" x14ac:dyDescent="0.25">
      <c r="A2" s="1">
        <v>45710</v>
      </c>
      <c r="B2" t="s">
        <v>5</v>
      </c>
      <c r="C2" t="s">
        <v>9</v>
      </c>
      <c r="D2" t="s">
        <v>29</v>
      </c>
      <c r="E2">
        <v>8429</v>
      </c>
      <c r="F2">
        <v>15</v>
      </c>
      <c r="G2">
        <v>15000</v>
      </c>
      <c r="H2" s="10">
        <f>F2*G2</f>
        <v>225000</v>
      </c>
      <c r="I2" s="10">
        <f>H2-E2</f>
        <v>216571</v>
      </c>
    </row>
    <row r="3" spans="1:9" x14ac:dyDescent="0.25">
      <c r="A3" s="1">
        <v>45711</v>
      </c>
      <c r="B3" t="s">
        <v>4</v>
      </c>
      <c r="C3" t="s">
        <v>11</v>
      </c>
      <c r="D3" t="s">
        <v>30</v>
      </c>
      <c r="E3">
        <v>8429</v>
      </c>
      <c r="F3">
        <v>18</v>
      </c>
      <c r="G3">
        <v>120000</v>
      </c>
      <c r="H3" s="10">
        <f t="shared" ref="H3:H66" si="0">F3*G3</f>
        <v>2160000</v>
      </c>
      <c r="I3" s="10">
        <f t="shared" ref="I3:I66" si="1">H3-E3</f>
        <v>2151571</v>
      </c>
    </row>
    <row r="4" spans="1:9" x14ac:dyDescent="0.25">
      <c r="A4" s="1">
        <v>45768</v>
      </c>
      <c r="B4" t="s">
        <v>6</v>
      </c>
      <c r="C4" t="s">
        <v>31</v>
      </c>
      <c r="D4" t="s">
        <v>32</v>
      </c>
      <c r="E4">
        <v>8429</v>
      </c>
      <c r="F4">
        <v>10</v>
      </c>
      <c r="G4">
        <v>5000</v>
      </c>
      <c r="H4" s="10">
        <f t="shared" si="0"/>
        <v>50000</v>
      </c>
      <c r="I4" s="10">
        <f t="shared" si="1"/>
        <v>41571</v>
      </c>
    </row>
    <row r="5" spans="1:9" x14ac:dyDescent="0.25">
      <c r="A5" s="1">
        <v>45710</v>
      </c>
      <c r="B5" t="s">
        <v>6</v>
      </c>
      <c r="C5" t="s">
        <v>9</v>
      </c>
      <c r="D5" t="s">
        <v>14</v>
      </c>
      <c r="E5">
        <v>7779</v>
      </c>
      <c r="F5">
        <v>12</v>
      </c>
      <c r="G5">
        <v>80000</v>
      </c>
      <c r="H5" s="10">
        <f t="shared" si="0"/>
        <v>960000</v>
      </c>
      <c r="I5" s="10">
        <f t="shared" si="1"/>
        <v>952221</v>
      </c>
    </row>
    <row r="6" spans="1:9" x14ac:dyDescent="0.25">
      <c r="A6" s="1">
        <v>45768</v>
      </c>
      <c r="B6" t="s">
        <v>4</v>
      </c>
      <c r="C6" t="s">
        <v>10</v>
      </c>
      <c r="D6" t="s">
        <v>32</v>
      </c>
      <c r="E6">
        <v>7779</v>
      </c>
      <c r="F6">
        <v>10</v>
      </c>
      <c r="G6">
        <v>15000</v>
      </c>
      <c r="H6" s="10">
        <f t="shared" si="0"/>
        <v>150000</v>
      </c>
      <c r="I6" s="10">
        <f t="shared" si="1"/>
        <v>142221</v>
      </c>
    </row>
    <row r="7" spans="1:9" x14ac:dyDescent="0.25">
      <c r="A7" s="1">
        <v>45710</v>
      </c>
      <c r="B7" t="s">
        <v>4</v>
      </c>
      <c r="C7" t="s">
        <v>13</v>
      </c>
      <c r="D7" t="s">
        <v>33</v>
      </c>
      <c r="E7">
        <v>7130</v>
      </c>
      <c r="F7">
        <v>12</v>
      </c>
      <c r="G7">
        <v>5000</v>
      </c>
      <c r="H7" s="10">
        <f t="shared" si="0"/>
        <v>60000</v>
      </c>
      <c r="I7" s="10">
        <f t="shared" si="1"/>
        <v>52870</v>
      </c>
    </row>
    <row r="8" spans="1:9" x14ac:dyDescent="0.25">
      <c r="A8" s="1">
        <v>45765</v>
      </c>
      <c r="B8" t="s">
        <v>4</v>
      </c>
      <c r="C8" t="s">
        <v>11</v>
      </c>
      <c r="D8" t="s">
        <v>29</v>
      </c>
      <c r="E8">
        <v>7130</v>
      </c>
      <c r="F8">
        <v>19</v>
      </c>
      <c r="G8">
        <v>10000</v>
      </c>
      <c r="H8" s="10">
        <f t="shared" si="0"/>
        <v>190000</v>
      </c>
      <c r="I8" s="10">
        <f t="shared" si="1"/>
        <v>182870</v>
      </c>
    </row>
    <row r="9" spans="1:9" x14ac:dyDescent="0.25">
      <c r="A9" s="1">
        <v>45708</v>
      </c>
      <c r="B9" t="s">
        <v>3</v>
      </c>
      <c r="C9" t="s">
        <v>31</v>
      </c>
      <c r="D9" t="s">
        <v>32</v>
      </c>
      <c r="E9">
        <v>6480</v>
      </c>
      <c r="F9">
        <v>7</v>
      </c>
      <c r="G9">
        <v>350000</v>
      </c>
      <c r="H9" s="10">
        <f t="shared" si="0"/>
        <v>2450000</v>
      </c>
      <c r="I9" s="10">
        <f t="shared" si="1"/>
        <v>2443520</v>
      </c>
    </row>
    <row r="10" spans="1:9" x14ac:dyDescent="0.25">
      <c r="A10" s="1">
        <v>45764</v>
      </c>
      <c r="B10" t="s">
        <v>4</v>
      </c>
      <c r="C10" t="s">
        <v>12</v>
      </c>
      <c r="D10" t="s">
        <v>30</v>
      </c>
      <c r="E10">
        <v>6480</v>
      </c>
      <c r="F10">
        <v>1</v>
      </c>
      <c r="G10">
        <v>350000</v>
      </c>
      <c r="H10" s="10">
        <f t="shared" si="0"/>
        <v>350000</v>
      </c>
      <c r="I10" s="10">
        <f t="shared" si="1"/>
        <v>343520</v>
      </c>
    </row>
    <row r="11" spans="1:9" x14ac:dyDescent="0.25">
      <c r="A11" s="1">
        <v>45708</v>
      </c>
      <c r="B11" t="s">
        <v>3</v>
      </c>
      <c r="C11" t="s">
        <v>10</v>
      </c>
      <c r="D11" t="s">
        <v>32</v>
      </c>
      <c r="E11">
        <v>5830</v>
      </c>
      <c r="F11">
        <v>4</v>
      </c>
      <c r="G11">
        <v>350000</v>
      </c>
      <c r="H11" s="10">
        <f t="shared" si="0"/>
        <v>1400000</v>
      </c>
      <c r="I11" s="10">
        <f t="shared" si="1"/>
        <v>1394170</v>
      </c>
    </row>
    <row r="12" spans="1:9" x14ac:dyDescent="0.25">
      <c r="A12" s="1">
        <v>45763</v>
      </c>
      <c r="B12" t="s">
        <v>4</v>
      </c>
      <c r="C12" t="s">
        <v>13</v>
      </c>
      <c r="D12" t="s">
        <v>34</v>
      </c>
      <c r="E12">
        <v>5830</v>
      </c>
      <c r="F12">
        <v>2</v>
      </c>
      <c r="G12">
        <v>10000</v>
      </c>
      <c r="H12" s="10">
        <f t="shared" si="0"/>
        <v>20000</v>
      </c>
      <c r="I12" s="10">
        <f t="shared" si="1"/>
        <v>14170</v>
      </c>
    </row>
    <row r="13" spans="1:9" x14ac:dyDescent="0.25">
      <c r="A13" s="1">
        <v>45707</v>
      </c>
      <c r="B13" t="s">
        <v>6</v>
      </c>
      <c r="C13" t="s">
        <v>9</v>
      </c>
      <c r="D13" t="s">
        <v>14</v>
      </c>
      <c r="E13">
        <v>5181</v>
      </c>
      <c r="F13">
        <v>11</v>
      </c>
      <c r="G13">
        <v>15000</v>
      </c>
      <c r="H13" s="10">
        <f t="shared" si="0"/>
        <v>165000</v>
      </c>
      <c r="I13" s="10">
        <f t="shared" si="1"/>
        <v>159819</v>
      </c>
    </row>
    <row r="14" spans="1:9" x14ac:dyDescent="0.25">
      <c r="A14" s="1">
        <v>45761</v>
      </c>
      <c r="B14" t="s">
        <v>4</v>
      </c>
      <c r="C14" t="s">
        <v>9</v>
      </c>
      <c r="D14" t="s">
        <v>33</v>
      </c>
      <c r="E14">
        <v>5181</v>
      </c>
      <c r="F14">
        <v>4</v>
      </c>
      <c r="G14">
        <v>80000</v>
      </c>
      <c r="H14" s="10">
        <f t="shared" si="0"/>
        <v>320000</v>
      </c>
      <c r="I14" s="10">
        <f t="shared" si="1"/>
        <v>314819</v>
      </c>
    </row>
    <row r="15" spans="1:9" x14ac:dyDescent="0.25">
      <c r="A15" s="1">
        <v>45706</v>
      </c>
      <c r="B15" t="s">
        <v>4</v>
      </c>
      <c r="C15" t="s">
        <v>10</v>
      </c>
      <c r="D15" t="s">
        <v>14</v>
      </c>
      <c r="E15">
        <v>4531</v>
      </c>
      <c r="F15">
        <v>4</v>
      </c>
      <c r="G15">
        <v>10000</v>
      </c>
      <c r="H15" s="10">
        <f t="shared" si="0"/>
        <v>40000</v>
      </c>
      <c r="I15" s="10">
        <f t="shared" si="1"/>
        <v>35469</v>
      </c>
    </row>
    <row r="16" spans="1:9" x14ac:dyDescent="0.25">
      <c r="A16" s="1">
        <v>45761</v>
      </c>
      <c r="B16" t="s">
        <v>4</v>
      </c>
      <c r="C16" t="s">
        <v>9</v>
      </c>
      <c r="D16" t="s">
        <v>30</v>
      </c>
      <c r="E16">
        <v>4531</v>
      </c>
      <c r="F16">
        <v>12</v>
      </c>
      <c r="G16">
        <v>80000</v>
      </c>
      <c r="H16" s="10">
        <f t="shared" si="0"/>
        <v>960000</v>
      </c>
      <c r="I16" s="10">
        <f t="shared" si="1"/>
        <v>955469</v>
      </c>
    </row>
    <row r="17" spans="1:9" x14ac:dyDescent="0.25">
      <c r="A17" s="1">
        <v>45705</v>
      </c>
      <c r="B17" t="s">
        <v>3</v>
      </c>
      <c r="C17" t="s">
        <v>13</v>
      </c>
      <c r="D17" t="s">
        <v>29</v>
      </c>
      <c r="E17">
        <v>3881</v>
      </c>
      <c r="F17">
        <v>13</v>
      </c>
      <c r="G17">
        <v>350000</v>
      </c>
      <c r="H17" s="10">
        <f t="shared" si="0"/>
        <v>4550000</v>
      </c>
      <c r="I17" s="10">
        <f t="shared" si="1"/>
        <v>4546119</v>
      </c>
    </row>
    <row r="18" spans="1:9" x14ac:dyDescent="0.25">
      <c r="A18" s="1">
        <v>45761</v>
      </c>
      <c r="B18" t="s">
        <v>3</v>
      </c>
      <c r="C18" t="s">
        <v>12</v>
      </c>
      <c r="D18" t="s">
        <v>14</v>
      </c>
      <c r="E18">
        <v>3881</v>
      </c>
      <c r="F18">
        <v>16</v>
      </c>
      <c r="G18">
        <v>80000</v>
      </c>
      <c r="H18" s="10">
        <f t="shared" si="0"/>
        <v>1280000</v>
      </c>
      <c r="I18" s="10">
        <f t="shared" si="1"/>
        <v>1276119</v>
      </c>
    </row>
    <row r="19" spans="1:9" x14ac:dyDescent="0.25">
      <c r="A19" s="1">
        <v>45705</v>
      </c>
      <c r="B19" t="s">
        <v>4</v>
      </c>
      <c r="C19" t="s">
        <v>13</v>
      </c>
      <c r="D19" t="s">
        <v>32</v>
      </c>
      <c r="E19">
        <v>3232</v>
      </c>
      <c r="F19">
        <v>16</v>
      </c>
      <c r="G19">
        <v>10000</v>
      </c>
      <c r="H19" s="10">
        <f t="shared" si="0"/>
        <v>160000</v>
      </c>
      <c r="I19" s="10">
        <f t="shared" si="1"/>
        <v>156768</v>
      </c>
    </row>
    <row r="20" spans="1:9" x14ac:dyDescent="0.25">
      <c r="A20" s="1">
        <v>45760</v>
      </c>
      <c r="B20" t="s">
        <v>3</v>
      </c>
      <c r="C20" t="s">
        <v>13</v>
      </c>
      <c r="D20" t="s">
        <v>33</v>
      </c>
      <c r="E20">
        <v>3232</v>
      </c>
      <c r="F20">
        <v>4</v>
      </c>
      <c r="G20">
        <v>5000</v>
      </c>
      <c r="H20" s="10">
        <f t="shared" si="0"/>
        <v>20000</v>
      </c>
      <c r="I20" s="10">
        <f t="shared" si="1"/>
        <v>16768</v>
      </c>
    </row>
    <row r="21" spans="1:9" x14ac:dyDescent="0.25">
      <c r="A21" s="1">
        <v>45678</v>
      </c>
      <c r="B21" t="s">
        <v>3</v>
      </c>
      <c r="C21" t="s">
        <v>31</v>
      </c>
      <c r="D21" t="s">
        <v>33</v>
      </c>
      <c r="E21">
        <v>2582</v>
      </c>
      <c r="F21">
        <v>9</v>
      </c>
      <c r="G21">
        <v>350000</v>
      </c>
      <c r="H21" s="10">
        <f t="shared" si="0"/>
        <v>3150000</v>
      </c>
      <c r="I21" s="10">
        <f t="shared" si="1"/>
        <v>3147418</v>
      </c>
    </row>
    <row r="22" spans="1:9" x14ac:dyDescent="0.25">
      <c r="A22" s="1">
        <v>45702</v>
      </c>
      <c r="B22" t="s">
        <v>3</v>
      </c>
      <c r="C22" t="s">
        <v>10</v>
      </c>
      <c r="D22" t="s">
        <v>30</v>
      </c>
      <c r="E22">
        <v>2582</v>
      </c>
      <c r="F22">
        <v>19</v>
      </c>
      <c r="G22">
        <v>80000</v>
      </c>
      <c r="H22" s="10">
        <f t="shared" si="0"/>
        <v>1520000</v>
      </c>
      <c r="I22" s="10">
        <f t="shared" si="1"/>
        <v>1517418</v>
      </c>
    </row>
    <row r="23" spans="1:9" x14ac:dyDescent="0.25">
      <c r="A23" s="1">
        <v>45738</v>
      </c>
      <c r="B23" t="s">
        <v>4</v>
      </c>
      <c r="C23" t="s">
        <v>10</v>
      </c>
      <c r="D23" t="s">
        <v>14</v>
      </c>
      <c r="E23">
        <v>2582</v>
      </c>
      <c r="F23">
        <v>19</v>
      </c>
      <c r="G23">
        <v>5000</v>
      </c>
      <c r="H23" s="10">
        <f t="shared" si="0"/>
        <v>95000</v>
      </c>
      <c r="I23" s="10">
        <f t="shared" si="1"/>
        <v>92418</v>
      </c>
    </row>
    <row r="24" spans="1:9" x14ac:dyDescent="0.25">
      <c r="A24" s="1">
        <v>45760</v>
      </c>
      <c r="B24" t="s">
        <v>3</v>
      </c>
      <c r="C24" t="s">
        <v>9</v>
      </c>
      <c r="D24" t="s">
        <v>14</v>
      </c>
      <c r="E24">
        <v>2582</v>
      </c>
      <c r="F24">
        <v>17</v>
      </c>
      <c r="G24">
        <v>5000</v>
      </c>
      <c r="H24" s="10">
        <f t="shared" si="0"/>
        <v>85000</v>
      </c>
      <c r="I24" s="10">
        <f t="shared" si="1"/>
        <v>82418</v>
      </c>
    </row>
    <row r="25" spans="1:9" x14ac:dyDescent="0.25">
      <c r="A25" s="1">
        <v>45779</v>
      </c>
      <c r="B25" t="s">
        <v>5</v>
      </c>
      <c r="C25" t="s">
        <v>11</v>
      </c>
      <c r="D25" t="s">
        <v>30</v>
      </c>
      <c r="E25">
        <v>2582</v>
      </c>
      <c r="F25">
        <v>7</v>
      </c>
      <c r="G25">
        <v>5000</v>
      </c>
      <c r="H25" s="10">
        <f t="shared" si="0"/>
        <v>35000</v>
      </c>
      <c r="I25" s="10">
        <f t="shared" si="1"/>
        <v>32418</v>
      </c>
    </row>
    <row r="26" spans="1:9" x14ac:dyDescent="0.25">
      <c r="A26" s="1">
        <v>45803</v>
      </c>
      <c r="B26" t="s">
        <v>4</v>
      </c>
      <c r="C26" t="s">
        <v>10</v>
      </c>
      <c r="D26" t="s">
        <v>32</v>
      </c>
      <c r="E26">
        <v>2582</v>
      </c>
      <c r="F26">
        <v>12</v>
      </c>
      <c r="G26">
        <v>80000</v>
      </c>
      <c r="H26" s="10">
        <f t="shared" si="0"/>
        <v>960000</v>
      </c>
      <c r="I26" s="10">
        <f t="shared" si="1"/>
        <v>957418</v>
      </c>
    </row>
    <row r="27" spans="1:9" x14ac:dyDescent="0.25">
      <c r="A27" s="1">
        <v>45819</v>
      </c>
      <c r="B27" t="s">
        <v>4</v>
      </c>
      <c r="C27" t="s">
        <v>12</v>
      </c>
      <c r="D27" t="s">
        <v>34</v>
      </c>
      <c r="E27">
        <v>2582</v>
      </c>
      <c r="F27">
        <v>3</v>
      </c>
      <c r="G27">
        <v>80000</v>
      </c>
      <c r="H27" s="10">
        <f t="shared" si="0"/>
        <v>240000</v>
      </c>
      <c r="I27" s="10">
        <f t="shared" si="1"/>
        <v>237418</v>
      </c>
    </row>
    <row r="28" spans="1:9" x14ac:dyDescent="0.25">
      <c r="A28" s="1">
        <v>45829</v>
      </c>
      <c r="B28" t="s">
        <v>3</v>
      </c>
      <c r="C28" t="s">
        <v>13</v>
      </c>
      <c r="D28" t="s">
        <v>29</v>
      </c>
      <c r="E28">
        <v>2582</v>
      </c>
      <c r="F28">
        <v>5</v>
      </c>
      <c r="G28">
        <v>120000</v>
      </c>
      <c r="H28" s="10">
        <f t="shared" si="0"/>
        <v>600000</v>
      </c>
      <c r="I28" s="10">
        <f t="shared" si="1"/>
        <v>597418</v>
      </c>
    </row>
    <row r="29" spans="1:9" x14ac:dyDescent="0.25">
      <c r="A29" s="1">
        <v>45675</v>
      </c>
      <c r="B29" t="s">
        <v>5</v>
      </c>
      <c r="C29" t="s">
        <v>9</v>
      </c>
      <c r="D29" t="s">
        <v>32</v>
      </c>
      <c r="E29">
        <v>1932</v>
      </c>
      <c r="F29">
        <v>4</v>
      </c>
      <c r="G29">
        <v>120000</v>
      </c>
      <c r="H29" s="10">
        <f t="shared" si="0"/>
        <v>480000</v>
      </c>
      <c r="I29" s="10">
        <f t="shared" si="1"/>
        <v>478068</v>
      </c>
    </row>
    <row r="30" spans="1:9" x14ac:dyDescent="0.25">
      <c r="A30" s="1">
        <v>45701</v>
      </c>
      <c r="B30" t="s">
        <v>6</v>
      </c>
      <c r="C30" t="s">
        <v>9</v>
      </c>
      <c r="D30" t="s">
        <v>29</v>
      </c>
      <c r="E30">
        <v>1932</v>
      </c>
      <c r="F30">
        <v>3</v>
      </c>
      <c r="G30">
        <v>120000</v>
      </c>
      <c r="H30" s="10">
        <f t="shared" si="0"/>
        <v>360000</v>
      </c>
      <c r="I30" s="10">
        <f t="shared" si="1"/>
        <v>358068</v>
      </c>
    </row>
    <row r="31" spans="1:9" x14ac:dyDescent="0.25">
      <c r="A31" s="1">
        <v>45738</v>
      </c>
      <c r="B31" t="s">
        <v>5</v>
      </c>
      <c r="C31" t="s">
        <v>12</v>
      </c>
      <c r="D31" t="s">
        <v>33</v>
      </c>
      <c r="E31">
        <v>1932</v>
      </c>
      <c r="F31">
        <v>9</v>
      </c>
      <c r="G31">
        <v>5000</v>
      </c>
      <c r="H31" s="10">
        <f t="shared" si="0"/>
        <v>45000</v>
      </c>
      <c r="I31" s="10">
        <f t="shared" si="1"/>
        <v>43068</v>
      </c>
    </row>
    <row r="32" spans="1:9" x14ac:dyDescent="0.25">
      <c r="A32" s="1">
        <v>45758</v>
      </c>
      <c r="B32" t="s">
        <v>4</v>
      </c>
      <c r="C32" t="s">
        <v>9</v>
      </c>
      <c r="D32" t="s">
        <v>14</v>
      </c>
      <c r="E32">
        <v>1932</v>
      </c>
      <c r="F32">
        <v>9</v>
      </c>
      <c r="G32">
        <v>120000</v>
      </c>
      <c r="H32" s="10">
        <f t="shared" si="0"/>
        <v>1080000</v>
      </c>
      <c r="I32" s="10">
        <f t="shared" si="1"/>
        <v>1078068</v>
      </c>
    </row>
    <row r="33" spans="1:9" x14ac:dyDescent="0.25">
      <c r="A33" s="1">
        <v>45774</v>
      </c>
      <c r="B33" t="s">
        <v>4</v>
      </c>
      <c r="C33" t="s">
        <v>9</v>
      </c>
      <c r="D33" t="s">
        <v>14</v>
      </c>
      <c r="E33">
        <v>1932</v>
      </c>
      <c r="F33">
        <v>18</v>
      </c>
      <c r="G33">
        <v>5000</v>
      </c>
      <c r="H33" s="10">
        <f t="shared" si="0"/>
        <v>90000</v>
      </c>
      <c r="I33" s="10">
        <f t="shared" si="1"/>
        <v>88068</v>
      </c>
    </row>
    <row r="34" spans="1:9" x14ac:dyDescent="0.25">
      <c r="A34" s="1">
        <v>45796</v>
      </c>
      <c r="B34" t="s">
        <v>5</v>
      </c>
      <c r="C34" t="s">
        <v>11</v>
      </c>
      <c r="D34" t="s">
        <v>29</v>
      </c>
      <c r="E34">
        <v>1932</v>
      </c>
      <c r="F34">
        <v>15</v>
      </c>
      <c r="G34">
        <v>80000</v>
      </c>
      <c r="H34" s="10">
        <f t="shared" si="0"/>
        <v>1200000</v>
      </c>
      <c r="I34" s="10">
        <f t="shared" si="1"/>
        <v>1198068</v>
      </c>
    </row>
    <row r="35" spans="1:9" x14ac:dyDescent="0.25">
      <c r="A35" s="1">
        <v>45818</v>
      </c>
      <c r="B35" t="s">
        <v>4</v>
      </c>
      <c r="C35" t="s">
        <v>12</v>
      </c>
      <c r="D35" t="s">
        <v>30</v>
      </c>
      <c r="E35">
        <v>1932</v>
      </c>
      <c r="F35">
        <v>13</v>
      </c>
      <c r="G35">
        <v>120000</v>
      </c>
      <c r="H35" s="10">
        <f t="shared" si="0"/>
        <v>1560000</v>
      </c>
      <c r="I35" s="10">
        <f t="shared" si="1"/>
        <v>1558068</v>
      </c>
    </row>
    <row r="36" spans="1:9" x14ac:dyDescent="0.25">
      <c r="A36" s="1">
        <v>45829</v>
      </c>
      <c r="B36" t="s">
        <v>5</v>
      </c>
      <c r="C36" t="s">
        <v>9</v>
      </c>
      <c r="D36" t="s">
        <v>33</v>
      </c>
      <c r="E36">
        <v>1932</v>
      </c>
      <c r="F36">
        <v>5</v>
      </c>
      <c r="G36">
        <v>15000</v>
      </c>
      <c r="H36" s="10">
        <f t="shared" si="0"/>
        <v>75000</v>
      </c>
      <c r="I36" s="10">
        <f t="shared" si="1"/>
        <v>73068</v>
      </c>
    </row>
    <row r="37" spans="1:9" x14ac:dyDescent="0.25">
      <c r="A37" s="1">
        <v>45672</v>
      </c>
      <c r="B37" t="s">
        <v>6</v>
      </c>
      <c r="C37" t="s">
        <v>13</v>
      </c>
      <c r="D37" t="s">
        <v>34</v>
      </c>
      <c r="E37">
        <v>1282</v>
      </c>
      <c r="F37">
        <v>14</v>
      </c>
      <c r="G37">
        <v>15000</v>
      </c>
      <c r="H37" s="10">
        <f t="shared" si="0"/>
        <v>210000</v>
      </c>
      <c r="I37" s="10">
        <f t="shared" si="1"/>
        <v>208718</v>
      </c>
    </row>
    <row r="38" spans="1:9" x14ac:dyDescent="0.25">
      <c r="A38" s="1">
        <v>45698</v>
      </c>
      <c r="B38" t="s">
        <v>3</v>
      </c>
      <c r="C38" t="s">
        <v>13</v>
      </c>
      <c r="D38" t="s">
        <v>30</v>
      </c>
      <c r="E38">
        <v>1282</v>
      </c>
      <c r="F38">
        <v>10</v>
      </c>
      <c r="G38">
        <v>80000</v>
      </c>
      <c r="H38" s="10">
        <f t="shared" si="0"/>
        <v>800000</v>
      </c>
      <c r="I38" s="10">
        <f t="shared" si="1"/>
        <v>798718</v>
      </c>
    </row>
    <row r="39" spans="1:9" x14ac:dyDescent="0.25">
      <c r="A39" s="1">
        <v>45732</v>
      </c>
      <c r="B39" t="s">
        <v>3</v>
      </c>
      <c r="C39" t="s">
        <v>10</v>
      </c>
      <c r="D39" t="s">
        <v>30</v>
      </c>
      <c r="E39">
        <v>1282</v>
      </c>
      <c r="F39">
        <v>4</v>
      </c>
      <c r="G39">
        <v>80000</v>
      </c>
      <c r="H39" s="10">
        <f t="shared" si="0"/>
        <v>320000</v>
      </c>
      <c r="I39" s="10">
        <f t="shared" si="1"/>
        <v>318718</v>
      </c>
    </row>
    <row r="40" spans="1:9" x14ac:dyDescent="0.25">
      <c r="A40" s="1">
        <v>45757</v>
      </c>
      <c r="B40" t="s">
        <v>3</v>
      </c>
      <c r="C40" t="s">
        <v>13</v>
      </c>
      <c r="D40" t="s">
        <v>29</v>
      </c>
      <c r="E40">
        <v>1282</v>
      </c>
      <c r="F40">
        <v>5</v>
      </c>
      <c r="G40">
        <v>350000</v>
      </c>
      <c r="H40" s="10">
        <f t="shared" si="0"/>
        <v>1750000</v>
      </c>
      <c r="I40" s="10">
        <f t="shared" si="1"/>
        <v>1748718</v>
      </c>
    </row>
    <row r="41" spans="1:9" x14ac:dyDescent="0.25">
      <c r="A41" s="1">
        <v>45793</v>
      </c>
      <c r="B41" t="s">
        <v>5</v>
      </c>
      <c r="C41" t="s">
        <v>9</v>
      </c>
      <c r="D41" t="s">
        <v>30</v>
      </c>
      <c r="E41">
        <v>1282</v>
      </c>
      <c r="F41">
        <v>5</v>
      </c>
      <c r="G41">
        <v>15000</v>
      </c>
      <c r="H41" s="10">
        <f t="shared" si="0"/>
        <v>75000</v>
      </c>
      <c r="I41" s="10">
        <f t="shared" si="1"/>
        <v>73718</v>
      </c>
    </row>
    <row r="42" spans="1:9" x14ac:dyDescent="0.25">
      <c r="A42" s="1">
        <v>45815</v>
      </c>
      <c r="B42" t="s">
        <v>6</v>
      </c>
      <c r="C42" t="s">
        <v>9</v>
      </c>
      <c r="D42" t="s">
        <v>33</v>
      </c>
      <c r="E42">
        <v>1282</v>
      </c>
      <c r="F42">
        <v>5</v>
      </c>
      <c r="G42">
        <v>120000</v>
      </c>
      <c r="H42" s="10">
        <f t="shared" si="0"/>
        <v>600000</v>
      </c>
      <c r="I42" s="10">
        <f t="shared" si="1"/>
        <v>598718</v>
      </c>
    </row>
    <row r="43" spans="1:9" x14ac:dyDescent="0.25">
      <c r="A43" s="1">
        <v>45827</v>
      </c>
      <c r="B43" t="s">
        <v>3</v>
      </c>
      <c r="C43" t="s">
        <v>10</v>
      </c>
      <c r="D43" t="s">
        <v>34</v>
      </c>
      <c r="E43">
        <v>1282</v>
      </c>
      <c r="F43">
        <v>17</v>
      </c>
      <c r="G43">
        <v>5000</v>
      </c>
      <c r="H43" s="10">
        <f t="shared" si="0"/>
        <v>85000</v>
      </c>
      <c r="I43" s="10">
        <f t="shared" si="1"/>
        <v>83718</v>
      </c>
    </row>
    <row r="44" spans="1:9" x14ac:dyDescent="0.25">
      <c r="A44" s="1">
        <v>45672</v>
      </c>
      <c r="B44" t="s">
        <v>4</v>
      </c>
      <c r="C44" t="s">
        <v>31</v>
      </c>
      <c r="D44" t="s">
        <v>32</v>
      </c>
      <c r="E44">
        <v>633</v>
      </c>
      <c r="F44">
        <v>2</v>
      </c>
      <c r="G44">
        <v>80000</v>
      </c>
      <c r="H44" s="10">
        <f t="shared" si="0"/>
        <v>160000</v>
      </c>
      <c r="I44" s="10">
        <f t="shared" si="1"/>
        <v>159367</v>
      </c>
    </row>
    <row r="45" spans="1:9" x14ac:dyDescent="0.25">
      <c r="A45" s="1">
        <v>45698</v>
      </c>
      <c r="B45" t="s">
        <v>5</v>
      </c>
      <c r="C45" t="s">
        <v>31</v>
      </c>
      <c r="D45" t="s">
        <v>29</v>
      </c>
      <c r="E45">
        <v>633</v>
      </c>
      <c r="F45">
        <v>1</v>
      </c>
      <c r="G45">
        <v>80000</v>
      </c>
      <c r="H45" s="10">
        <f t="shared" si="0"/>
        <v>80000</v>
      </c>
      <c r="I45" s="10">
        <f t="shared" si="1"/>
        <v>79367</v>
      </c>
    </row>
    <row r="46" spans="1:9" x14ac:dyDescent="0.25">
      <c r="A46" s="1">
        <v>45730</v>
      </c>
      <c r="B46" t="s">
        <v>5</v>
      </c>
      <c r="C46" t="s">
        <v>11</v>
      </c>
      <c r="D46" t="s">
        <v>34</v>
      </c>
      <c r="E46">
        <v>633</v>
      </c>
      <c r="F46">
        <v>7</v>
      </c>
      <c r="G46">
        <v>350000</v>
      </c>
      <c r="H46" s="10">
        <f t="shared" si="0"/>
        <v>2450000</v>
      </c>
      <c r="I46" s="10">
        <f t="shared" si="1"/>
        <v>2449367</v>
      </c>
    </row>
    <row r="47" spans="1:9" x14ac:dyDescent="0.25">
      <c r="A47" s="1">
        <v>45756</v>
      </c>
      <c r="B47" t="s">
        <v>5</v>
      </c>
      <c r="C47" t="s">
        <v>12</v>
      </c>
      <c r="D47" t="s">
        <v>14</v>
      </c>
      <c r="E47">
        <v>633</v>
      </c>
      <c r="F47">
        <v>10</v>
      </c>
      <c r="G47">
        <v>350000</v>
      </c>
      <c r="H47" s="10">
        <f t="shared" si="0"/>
        <v>3500000</v>
      </c>
      <c r="I47" s="10">
        <f t="shared" si="1"/>
        <v>3499367</v>
      </c>
    </row>
    <row r="48" spans="1:9" x14ac:dyDescent="0.25">
      <c r="A48" s="1">
        <v>45793</v>
      </c>
      <c r="B48" t="s">
        <v>6</v>
      </c>
      <c r="C48" t="s">
        <v>13</v>
      </c>
      <c r="D48" t="s">
        <v>14</v>
      </c>
      <c r="E48">
        <v>633</v>
      </c>
      <c r="F48">
        <v>1</v>
      </c>
      <c r="G48">
        <v>350000</v>
      </c>
      <c r="H48" s="10">
        <f t="shared" si="0"/>
        <v>350000</v>
      </c>
      <c r="I48" s="10">
        <f t="shared" si="1"/>
        <v>349367</v>
      </c>
    </row>
    <row r="49" spans="1:9" x14ac:dyDescent="0.25">
      <c r="A49" s="1">
        <v>45814</v>
      </c>
      <c r="B49" t="s">
        <v>6</v>
      </c>
      <c r="C49" t="s">
        <v>31</v>
      </c>
      <c r="D49" t="s">
        <v>29</v>
      </c>
      <c r="E49">
        <v>633</v>
      </c>
      <c r="F49">
        <v>5</v>
      </c>
      <c r="G49">
        <v>15000</v>
      </c>
      <c r="H49" s="10">
        <f t="shared" si="0"/>
        <v>75000</v>
      </c>
      <c r="I49" s="10">
        <f t="shared" si="1"/>
        <v>74367</v>
      </c>
    </row>
    <row r="50" spans="1:9" x14ac:dyDescent="0.25">
      <c r="A50" s="1">
        <v>45824</v>
      </c>
      <c r="B50" t="s">
        <v>6</v>
      </c>
      <c r="C50" t="s">
        <v>9</v>
      </c>
      <c r="D50" t="s">
        <v>32</v>
      </c>
      <c r="E50">
        <v>633</v>
      </c>
      <c r="F50">
        <v>9</v>
      </c>
      <c r="G50">
        <v>5000</v>
      </c>
      <c r="H50" s="10">
        <f t="shared" si="0"/>
        <v>45000</v>
      </c>
      <c r="I50" s="10">
        <f t="shared" si="1"/>
        <v>44367</v>
      </c>
    </row>
    <row r="51" spans="1:9" x14ac:dyDescent="0.25">
      <c r="A51" s="1">
        <v>45672</v>
      </c>
      <c r="B51" t="s">
        <v>5</v>
      </c>
      <c r="C51" t="s">
        <v>10</v>
      </c>
      <c r="D51" t="s">
        <v>14</v>
      </c>
      <c r="E51">
        <v>17</v>
      </c>
      <c r="F51">
        <v>5</v>
      </c>
      <c r="G51">
        <v>10000</v>
      </c>
      <c r="H51" s="10">
        <f t="shared" si="0"/>
        <v>50000</v>
      </c>
      <c r="I51" s="10">
        <f t="shared" si="1"/>
        <v>49983</v>
      </c>
    </row>
    <row r="52" spans="1:9" x14ac:dyDescent="0.25">
      <c r="A52" s="1">
        <v>45697</v>
      </c>
      <c r="B52" t="s">
        <v>6</v>
      </c>
      <c r="C52" t="s">
        <v>13</v>
      </c>
      <c r="D52" t="s">
        <v>29</v>
      </c>
      <c r="E52">
        <v>17</v>
      </c>
      <c r="F52">
        <v>17</v>
      </c>
      <c r="G52">
        <v>15000</v>
      </c>
      <c r="H52" s="10">
        <f t="shared" si="0"/>
        <v>255000</v>
      </c>
      <c r="I52" s="10">
        <f t="shared" si="1"/>
        <v>254983</v>
      </c>
    </row>
    <row r="53" spans="1:9" x14ac:dyDescent="0.25">
      <c r="A53" s="1">
        <v>45729</v>
      </c>
      <c r="B53" t="s">
        <v>4</v>
      </c>
      <c r="C53" t="s">
        <v>13</v>
      </c>
      <c r="D53" t="s">
        <v>34</v>
      </c>
      <c r="E53">
        <v>17</v>
      </c>
      <c r="F53">
        <v>5</v>
      </c>
      <c r="G53">
        <v>15000</v>
      </c>
      <c r="H53" s="10">
        <f t="shared" si="0"/>
        <v>75000</v>
      </c>
      <c r="I53" s="10">
        <f t="shared" si="1"/>
        <v>74983</v>
      </c>
    </row>
    <row r="54" spans="1:9" x14ac:dyDescent="0.25">
      <c r="A54" s="1">
        <v>45752</v>
      </c>
      <c r="B54" t="s">
        <v>3</v>
      </c>
      <c r="C54" t="s">
        <v>11</v>
      </c>
      <c r="D54" t="s">
        <v>32</v>
      </c>
      <c r="E54">
        <v>17</v>
      </c>
      <c r="F54">
        <v>8</v>
      </c>
      <c r="G54">
        <v>10000</v>
      </c>
      <c r="H54" s="10">
        <f t="shared" si="0"/>
        <v>80000</v>
      </c>
      <c r="I54" s="10">
        <f t="shared" si="1"/>
        <v>79983</v>
      </c>
    </row>
    <row r="55" spans="1:9" x14ac:dyDescent="0.25">
      <c r="A55" s="1">
        <v>45792</v>
      </c>
      <c r="B55" t="s">
        <v>4</v>
      </c>
      <c r="C55" t="s">
        <v>13</v>
      </c>
      <c r="D55" t="s">
        <v>29</v>
      </c>
      <c r="E55">
        <v>17</v>
      </c>
      <c r="F55">
        <v>9</v>
      </c>
      <c r="G55">
        <v>10000</v>
      </c>
      <c r="H55" s="10">
        <f t="shared" si="0"/>
        <v>90000</v>
      </c>
      <c r="I55" s="10">
        <f t="shared" si="1"/>
        <v>89983</v>
      </c>
    </row>
    <row r="56" spans="1:9" x14ac:dyDescent="0.25">
      <c r="A56" s="1">
        <v>45811</v>
      </c>
      <c r="B56" t="s">
        <v>4</v>
      </c>
      <c r="C56" t="s">
        <v>31</v>
      </c>
      <c r="D56" t="s">
        <v>30</v>
      </c>
      <c r="E56">
        <v>17</v>
      </c>
      <c r="F56">
        <v>2</v>
      </c>
      <c r="G56">
        <v>10000</v>
      </c>
      <c r="H56" s="10">
        <f t="shared" si="0"/>
        <v>20000</v>
      </c>
      <c r="I56" s="10">
        <f t="shared" si="1"/>
        <v>19983</v>
      </c>
    </row>
    <row r="57" spans="1:9" x14ac:dyDescent="0.25">
      <c r="A57" s="1">
        <v>45821</v>
      </c>
      <c r="B57" t="s">
        <v>3</v>
      </c>
      <c r="C57" t="s">
        <v>10</v>
      </c>
      <c r="D57" t="s">
        <v>30</v>
      </c>
      <c r="E57">
        <v>17</v>
      </c>
      <c r="F57">
        <v>7</v>
      </c>
      <c r="G57">
        <v>5000</v>
      </c>
      <c r="H57" s="10">
        <f t="shared" si="0"/>
        <v>35000</v>
      </c>
      <c r="I57" s="10">
        <f t="shared" si="1"/>
        <v>34983</v>
      </c>
    </row>
    <row r="58" spans="1:9" x14ac:dyDescent="0.25">
      <c r="A58" s="1">
        <v>45672</v>
      </c>
      <c r="B58" t="s">
        <v>4</v>
      </c>
      <c r="C58" t="s">
        <v>31</v>
      </c>
      <c r="D58" t="s">
        <v>34</v>
      </c>
      <c r="E58">
        <v>667</v>
      </c>
      <c r="F58">
        <v>13</v>
      </c>
      <c r="G58">
        <v>350000</v>
      </c>
      <c r="H58" s="10">
        <f t="shared" si="0"/>
        <v>4550000</v>
      </c>
      <c r="I58" s="10">
        <f t="shared" si="1"/>
        <v>4549333</v>
      </c>
    </row>
    <row r="59" spans="1:9" x14ac:dyDescent="0.25">
      <c r="A59" s="1">
        <v>45695</v>
      </c>
      <c r="B59" t="s">
        <v>3</v>
      </c>
      <c r="C59" t="s">
        <v>11</v>
      </c>
      <c r="D59" t="s">
        <v>29</v>
      </c>
      <c r="E59">
        <v>667</v>
      </c>
      <c r="F59">
        <v>17</v>
      </c>
      <c r="G59">
        <v>15000</v>
      </c>
      <c r="H59" s="10">
        <f t="shared" si="0"/>
        <v>255000</v>
      </c>
      <c r="I59" s="10">
        <f t="shared" si="1"/>
        <v>254333</v>
      </c>
    </row>
    <row r="60" spans="1:9" x14ac:dyDescent="0.25">
      <c r="A60" s="1">
        <v>45729</v>
      </c>
      <c r="B60" t="s">
        <v>5</v>
      </c>
      <c r="C60" t="s">
        <v>11</v>
      </c>
      <c r="D60" t="s">
        <v>34</v>
      </c>
      <c r="E60">
        <v>667</v>
      </c>
      <c r="F60">
        <v>4</v>
      </c>
      <c r="G60">
        <v>80000</v>
      </c>
      <c r="H60" s="10">
        <f t="shared" si="0"/>
        <v>320000</v>
      </c>
      <c r="I60" s="10">
        <f t="shared" si="1"/>
        <v>319333</v>
      </c>
    </row>
    <row r="61" spans="1:9" x14ac:dyDescent="0.25">
      <c r="A61" s="1">
        <v>45750</v>
      </c>
      <c r="B61" t="s">
        <v>3</v>
      </c>
      <c r="C61" t="s">
        <v>13</v>
      </c>
      <c r="D61" t="s">
        <v>14</v>
      </c>
      <c r="E61">
        <v>667</v>
      </c>
      <c r="F61">
        <v>3</v>
      </c>
      <c r="G61">
        <v>80000</v>
      </c>
      <c r="H61" s="10">
        <f t="shared" si="0"/>
        <v>240000</v>
      </c>
      <c r="I61" s="10">
        <f t="shared" si="1"/>
        <v>239333</v>
      </c>
    </row>
    <row r="62" spans="1:9" x14ac:dyDescent="0.25">
      <c r="A62" s="1">
        <v>45792</v>
      </c>
      <c r="B62" t="s">
        <v>3</v>
      </c>
      <c r="C62" t="s">
        <v>9</v>
      </c>
      <c r="D62" t="s">
        <v>29</v>
      </c>
      <c r="E62">
        <v>667</v>
      </c>
      <c r="F62">
        <v>17</v>
      </c>
      <c r="G62">
        <v>5000</v>
      </c>
      <c r="H62" s="10">
        <f t="shared" si="0"/>
        <v>85000</v>
      </c>
      <c r="I62" s="10">
        <f t="shared" si="1"/>
        <v>84333</v>
      </c>
    </row>
    <row r="63" spans="1:9" x14ac:dyDescent="0.25">
      <c r="A63" s="1">
        <v>45809</v>
      </c>
      <c r="B63" t="s">
        <v>5</v>
      </c>
      <c r="C63" t="s">
        <v>11</v>
      </c>
      <c r="D63" t="s">
        <v>29</v>
      </c>
      <c r="E63">
        <v>667</v>
      </c>
      <c r="F63">
        <v>17</v>
      </c>
      <c r="G63">
        <v>15000</v>
      </c>
      <c r="H63" s="10">
        <f t="shared" si="0"/>
        <v>255000</v>
      </c>
      <c r="I63" s="10">
        <f t="shared" si="1"/>
        <v>254333</v>
      </c>
    </row>
    <row r="64" spans="1:9" x14ac:dyDescent="0.25">
      <c r="A64" s="1">
        <v>45820</v>
      </c>
      <c r="B64" t="s">
        <v>6</v>
      </c>
      <c r="C64" t="s">
        <v>11</v>
      </c>
      <c r="D64" t="s">
        <v>34</v>
      </c>
      <c r="E64">
        <v>667</v>
      </c>
      <c r="F64">
        <v>5</v>
      </c>
      <c r="G64">
        <v>120000</v>
      </c>
      <c r="H64" s="10">
        <f t="shared" si="0"/>
        <v>600000</v>
      </c>
      <c r="I64" s="10">
        <f t="shared" si="1"/>
        <v>599333</v>
      </c>
    </row>
    <row r="65" spans="1:9" x14ac:dyDescent="0.25">
      <c r="A65" s="1">
        <v>45837</v>
      </c>
      <c r="B65" t="s">
        <v>5</v>
      </c>
      <c r="C65" t="s">
        <v>10</v>
      </c>
      <c r="D65" t="s">
        <v>30</v>
      </c>
      <c r="E65">
        <v>667</v>
      </c>
      <c r="F65">
        <v>1</v>
      </c>
      <c r="G65">
        <v>15000</v>
      </c>
      <c r="H65" s="10">
        <f t="shared" si="0"/>
        <v>15000</v>
      </c>
      <c r="I65" s="10">
        <f t="shared" si="1"/>
        <v>14333</v>
      </c>
    </row>
    <row r="66" spans="1:9" x14ac:dyDescent="0.25">
      <c r="A66" s="1">
        <v>45659</v>
      </c>
      <c r="B66" t="s">
        <v>3</v>
      </c>
      <c r="C66" t="s">
        <v>10</v>
      </c>
      <c r="D66" t="s">
        <v>14</v>
      </c>
      <c r="E66">
        <v>1000</v>
      </c>
      <c r="F66">
        <v>7</v>
      </c>
      <c r="G66">
        <v>350000</v>
      </c>
      <c r="H66" s="10">
        <f t="shared" si="0"/>
        <v>2450000</v>
      </c>
      <c r="I66" s="10">
        <f t="shared" si="1"/>
        <v>2449000</v>
      </c>
    </row>
    <row r="67" spans="1:9" x14ac:dyDescent="0.25">
      <c r="A67" s="1">
        <v>45678</v>
      </c>
      <c r="B67" t="s">
        <v>3</v>
      </c>
      <c r="C67" t="s">
        <v>10</v>
      </c>
      <c r="D67" t="s">
        <v>32</v>
      </c>
      <c r="E67">
        <v>1000</v>
      </c>
      <c r="F67">
        <v>3</v>
      </c>
      <c r="G67">
        <v>350000</v>
      </c>
      <c r="H67" s="10">
        <f t="shared" ref="H67:H121" si="2">F67*G67</f>
        <v>1050000</v>
      </c>
      <c r="I67" s="10">
        <f t="shared" ref="I67:I121" si="3">H67-E67</f>
        <v>1049000</v>
      </c>
    </row>
    <row r="68" spans="1:9" x14ac:dyDescent="0.25">
      <c r="A68" s="1">
        <v>45711</v>
      </c>
      <c r="B68" t="s">
        <v>5</v>
      </c>
      <c r="C68" t="s">
        <v>11</v>
      </c>
      <c r="D68" t="s">
        <v>32</v>
      </c>
      <c r="E68">
        <v>1000</v>
      </c>
      <c r="F68">
        <v>11</v>
      </c>
      <c r="G68">
        <v>120000</v>
      </c>
      <c r="H68" s="10">
        <f t="shared" si="2"/>
        <v>1320000</v>
      </c>
      <c r="I68" s="10">
        <f t="shared" si="3"/>
        <v>1319000</v>
      </c>
    </row>
    <row r="69" spans="1:9" x14ac:dyDescent="0.25">
      <c r="A69" s="1">
        <v>45739</v>
      </c>
      <c r="B69" t="s">
        <v>3</v>
      </c>
      <c r="C69" t="s">
        <v>9</v>
      </c>
      <c r="D69" t="s">
        <v>32</v>
      </c>
      <c r="E69">
        <v>1000</v>
      </c>
      <c r="F69">
        <v>1</v>
      </c>
      <c r="G69">
        <v>10000</v>
      </c>
      <c r="H69" s="10">
        <f t="shared" si="2"/>
        <v>10000</v>
      </c>
      <c r="I69" s="10">
        <f t="shared" si="3"/>
        <v>9000</v>
      </c>
    </row>
    <row r="70" spans="1:9" x14ac:dyDescent="0.25">
      <c r="A70" s="1">
        <v>45780</v>
      </c>
      <c r="B70" t="s">
        <v>3</v>
      </c>
      <c r="C70" t="s">
        <v>10</v>
      </c>
      <c r="D70" t="s">
        <v>14</v>
      </c>
      <c r="E70">
        <v>1000</v>
      </c>
      <c r="F70">
        <v>15</v>
      </c>
      <c r="G70">
        <v>15000</v>
      </c>
      <c r="H70" s="10">
        <f t="shared" si="2"/>
        <v>225000</v>
      </c>
      <c r="I70" s="10">
        <f t="shared" si="3"/>
        <v>224000</v>
      </c>
    </row>
    <row r="71" spans="1:9" x14ac:dyDescent="0.25">
      <c r="A71" s="1">
        <v>45671</v>
      </c>
      <c r="B71" t="s">
        <v>4</v>
      </c>
      <c r="C71" t="s">
        <v>10</v>
      </c>
      <c r="D71" t="s">
        <v>33</v>
      </c>
      <c r="E71">
        <v>1300</v>
      </c>
      <c r="F71">
        <v>18</v>
      </c>
      <c r="G71">
        <v>80000</v>
      </c>
      <c r="H71" s="10">
        <f t="shared" si="2"/>
        <v>1440000</v>
      </c>
      <c r="I71" s="10">
        <f t="shared" si="3"/>
        <v>1438700</v>
      </c>
    </row>
    <row r="72" spans="1:9" x14ac:dyDescent="0.25">
      <c r="A72" s="1">
        <v>45692</v>
      </c>
      <c r="B72" t="s">
        <v>6</v>
      </c>
      <c r="C72" t="s">
        <v>12</v>
      </c>
      <c r="D72" t="s">
        <v>32</v>
      </c>
      <c r="E72">
        <v>1300</v>
      </c>
      <c r="F72">
        <v>12</v>
      </c>
      <c r="G72">
        <v>15000</v>
      </c>
      <c r="H72" s="10">
        <f t="shared" si="2"/>
        <v>180000</v>
      </c>
      <c r="I72" s="10">
        <f t="shared" si="3"/>
        <v>178700</v>
      </c>
    </row>
    <row r="73" spans="1:9" x14ac:dyDescent="0.25">
      <c r="A73" s="1">
        <v>45722</v>
      </c>
      <c r="B73" t="s">
        <v>3</v>
      </c>
      <c r="C73" t="s">
        <v>12</v>
      </c>
      <c r="D73" t="s">
        <v>14</v>
      </c>
      <c r="E73">
        <v>1300</v>
      </c>
      <c r="F73">
        <v>12</v>
      </c>
      <c r="G73">
        <v>120000</v>
      </c>
      <c r="H73" s="10">
        <f t="shared" si="2"/>
        <v>1440000</v>
      </c>
      <c r="I73" s="10">
        <f t="shared" si="3"/>
        <v>1438700</v>
      </c>
    </row>
    <row r="74" spans="1:9" x14ac:dyDescent="0.25">
      <c r="A74" s="1">
        <v>45747</v>
      </c>
      <c r="B74" t="s">
        <v>5</v>
      </c>
      <c r="C74" t="s">
        <v>31</v>
      </c>
      <c r="D74" t="s">
        <v>29</v>
      </c>
      <c r="E74">
        <v>1300</v>
      </c>
      <c r="F74">
        <v>13</v>
      </c>
      <c r="G74">
        <v>15000</v>
      </c>
      <c r="H74" s="10">
        <f t="shared" si="2"/>
        <v>195000</v>
      </c>
      <c r="I74" s="10">
        <f t="shared" si="3"/>
        <v>193700</v>
      </c>
    </row>
    <row r="75" spans="1:9" x14ac:dyDescent="0.25">
      <c r="A75" s="1">
        <v>45789</v>
      </c>
      <c r="B75" t="s">
        <v>3</v>
      </c>
      <c r="C75" t="s">
        <v>10</v>
      </c>
      <c r="D75" t="s">
        <v>33</v>
      </c>
      <c r="E75">
        <v>1300</v>
      </c>
      <c r="F75">
        <v>1</v>
      </c>
      <c r="G75">
        <v>15000</v>
      </c>
      <c r="H75" s="10">
        <f t="shared" si="2"/>
        <v>15000</v>
      </c>
      <c r="I75" s="10">
        <f t="shared" si="3"/>
        <v>13700</v>
      </c>
    </row>
    <row r="76" spans="1:9" x14ac:dyDescent="0.25">
      <c r="A76" s="1">
        <v>45807</v>
      </c>
      <c r="B76" t="s">
        <v>6</v>
      </c>
      <c r="C76" t="s">
        <v>13</v>
      </c>
      <c r="D76" t="s">
        <v>30</v>
      </c>
      <c r="E76">
        <v>1300</v>
      </c>
      <c r="F76">
        <v>1</v>
      </c>
      <c r="G76">
        <v>350000</v>
      </c>
      <c r="H76" s="10">
        <f t="shared" si="2"/>
        <v>350000</v>
      </c>
      <c r="I76" s="10">
        <f t="shared" si="3"/>
        <v>348700</v>
      </c>
    </row>
    <row r="77" spans="1:9" x14ac:dyDescent="0.25">
      <c r="A77" s="1">
        <v>45819</v>
      </c>
      <c r="B77" t="s">
        <v>4</v>
      </c>
      <c r="C77" t="s">
        <v>11</v>
      </c>
      <c r="D77" t="s">
        <v>34</v>
      </c>
      <c r="E77">
        <v>1300</v>
      </c>
      <c r="F77">
        <v>16</v>
      </c>
      <c r="G77">
        <v>15000</v>
      </c>
      <c r="H77" s="10">
        <f t="shared" si="2"/>
        <v>240000</v>
      </c>
      <c r="I77" s="10">
        <f t="shared" si="3"/>
        <v>238700</v>
      </c>
    </row>
    <row r="78" spans="1:9" x14ac:dyDescent="0.25">
      <c r="A78" s="1">
        <v>45832</v>
      </c>
      <c r="B78" t="s">
        <v>3</v>
      </c>
      <c r="C78" t="s">
        <v>10</v>
      </c>
      <c r="D78" t="s">
        <v>33</v>
      </c>
      <c r="E78">
        <v>1300</v>
      </c>
      <c r="F78">
        <v>2</v>
      </c>
      <c r="G78">
        <v>5000</v>
      </c>
      <c r="H78" s="10">
        <f t="shared" si="2"/>
        <v>10000</v>
      </c>
      <c r="I78" s="10">
        <f t="shared" si="3"/>
        <v>8700</v>
      </c>
    </row>
    <row r="79" spans="1:9" x14ac:dyDescent="0.25">
      <c r="A79" s="1">
        <v>45665</v>
      </c>
      <c r="B79" t="s">
        <v>5</v>
      </c>
      <c r="C79" t="s">
        <v>13</v>
      </c>
      <c r="D79" t="s">
        <v>14</v>
      </c>
      <c r="E79">
        <v>1500</v>
      </c>
      <c r="F79">
        <v>16</v>
      </c>
      <c r="G79">
        <v>350000</v>
      </c>
      <c r="H79" s="10">
        <f t="shared" si="2"/>
        <v>5600000</v>
      </c>
      <c r="I79" s="10">
        <f t="shared" si="3"/>
        <v>5598500</v>
      </c>
    </row>
    <row r="80" spans="1:9" x14ac:dyDescent="0.25">
      <c r="A80" s="1">
        <v>45685</v>
      </c>
      <c r="B80" t="s">
        <v>4</v>
      </c>
      <c r="C80" t="s">
        <v>13</v>
      </c>
      <c r="D80" t="s">
        <v>32</v>
      </c>
      <c r="E80">
        <v>1500</v>
      </c>
      <c r="F80">
        <v>8</v>
      </c>
      <c r="G80">
        <v>10000</v>
      </c>
      <c r="H80" s="10">
        <f t="shared" si="2"/>
        <v>80000</v>
      </c>
      <c r="I80" s="10">
        <f t="shared" si="3"/>
        <v>78500</v>
      </c>
    </row>
    <row r="81" spans="1:9" x14ac:dyDescent="0.25">
      <c r="A81" s="1">
        <v>45717</v>
      </c>
      <c r="B81" t="s">
        <v>5</v>
      </c>
      <c r="C81" t="s">
        <v>31</v>
      </c>
      <c r="D81" t="s">
        <v>33</v>
      </c>
      <c r="E81">
        <v>1500</v>
      </c>
      <c r="F81">
        <v>16</v>
      </c>
      <c r="G81">
        <v>5000</v>
      </c>
      <c r="H81" s="10">
        <f t="shared" si="2"/>
        <v>80000</v>
      </c>
      <c r="I81" s="10">
        <f t="shared" si="3"/>
        <v>78500</v>
      </c>
    </row>
    <row r="82" spans="1:9" x14ac:dyDescent="0.25">
      <c r="A82" s="1">
        <v>45745</v>
      </c>
      <c r="B82" t="s">
        <v>3</v>
      </c>
      <c r="C82" t="s">
        <v>10</v>
      </c>
      <c r="D82" t="s">
        <v>29</v>
      </c>
      <c r="E82">
        <v>1500</v>
      </c>
      <c r="F82">
        <v>19</v>
      </c>
      <c r="G82">
        <v>120000</v>
      </c>
      <c r="H82" s="10">
        <f t="shared" si="2"/>
        <v>2280000</v>
      </c>
      <c r="I82" s="10">
        <f t="shared" si="3"/>
        <v>2278500</v>
      </c>
    </row>
    <row r="83" spans="1:9" x14ac:dyDescent="0.25">
      <c r="A83" s="1">
        <v>45787</v>
      </c>
      <c r="B83" t="s">
        <v>6</v>
      </c>
      <c r="C83" t="s">
        <v>11</v>
      </c>
      <c r="D83" t="s">
        <v>32</v>
      </c>
      <c r="E83">
        <v>1500</v>
      </c>
      <c r="F83">
        <v>10</v>
      </c>
      <c r="G83">
        <v>80000</v>
      </c>
      <c r="H83" s="10">
        <f t="shared" si="2"/>
        <v>800000</v>
      </c>
      <c r="I83" s="10">
        <f t="shared" si="3"/>
        <v>798500</v>
      </c>
    </row>
    <row r="84" spans="1:9" x14ac:dyDescent="0.25">
      <c r="A84" s="1">
        <v>45666</v>
      </c>
      <c r="B84" t="s">
        <v>6</v>
      </c>
      <c r="C84" t="s">
        <v>9</v>
      </c>
      <c r="D84" t="s">
        <v>30</v>
      </c>
      <c r="E84">
        <v>2000</v>
      </c>
      <c r="F84">
        <v>1</v>
      </c>
      <c r="G84">
        <v>80000</v>
      </c>
      <c r="H84" s="10">
        <f t="shared" si="2"/>
        <v>80000</v>
      </c>
      <c r="I84" s="10">
        <f t="shared" si="3"/>
        <v>78000</v>
      </c>
    </row>
    <row r="85" spans="1:9" x14ac:dyDescent="0.25">
      <c r="A85" s="1">
        <v>45690</v>
      </c>
      <c r="B85" t="s">
        <v>3</v>
      </c>
      <c r="C85" t="s">
        <v>10</v>
      </c>
      <c r="D85" t="s">
        <v>30</v>
      </c>
      <c r="E85">
        <v>2000</v>
      </c>
      <c r="F85">
        <v>3</v>
      </c>
      <c r="G85">
        <v>15000</v>
      </c>
      <c r="H85" s="10">
        <f t="shared" si="2"/>
        <v>45000</v>
      </c>
      <c r="I85" s="10">
        <f t="shared" si="3"/>
        <v>43000</v>
      </c>
    </row>
    <row r="86" spans="1:9" x14ac:dyDescent="0.25">
      <c r="A86" s="1">
        <v>45719</v>
      </c>
      <c r="B86" t="s">
        <v>5</v>
      </c>
      <c r="C86" t="s">
        <v>10</v>
      </c>
      <c r="D86" t="s">
        <v>14</v>
      </c>
      <c r="E86">
        <v>2000</v>
      </c>
      <c r="F86">
        <v>16</v>
      </c>
      <c r="G86">
        <v>5000</v>
      </c>
      <c r="H86" s="10">
        <f t="shared" si="2"/>
        <v>80000</v>
      </c>
      <c r="I86" s="10">
        <f t="shared" si="3"/>
        <v>78000</v>
      </c>
    </row>
    <row r="87" spans="1:9" x14ac:dyDescent="0.25">
      <c r="A87" s="1">
        <v>45746</v>
      </c>
      <c r="B87" t="s">
        <v>5</v>
      </c>
      <c r="C87" t="s">
        <v>11</v>
      </c>
      <c r="D87" t="s">
        <v>14</v>
      </c>
      <c r="E87">
        <v>2000</v>
      </c>
      <c r="F87">
        <v>4</v>
      </c>
      <c r="G87">
        <v>15000</v>
      </c>
      <c r="H87" s="10">
        <f t="shared" si="2"/>
        <v>60000</v>
      </c>
      <c r="I87" s="10">
        <f t="shared" si="3"/>
        <v>58000</v>
      </c>
    </row>
    <row r="88" spans="1:9" x14ac:dyDescent="0.25">
      <c r="A88" s="1">
        <v>45788</v>
      </c>
      <c r="B88" t="s">
        <v>6</v>
      </c>
      <c r="C88" t="s">
        <v>9</v>
      </c>
      <c r="D88" t="s">
        <v>29</v>
      </c>
      <c r="E88">
        <v>2000</v>
      </c>
      <c r="F88">
        <v>17</v>
      </c>
      <c r="G88">
        <v>80000</v>
      </c>
      <c r="H88" s="10">
        <f t="shared" si="2"/>
        <v>1360000</v>
      </c>
      <c r="I88" s="10">
        <f t="shared" si="3"/>
        <v>1358000</v>
      </c>
    </row>
    <row r="89" spans="1:9" x14ac:dyDescent="0.25">
      <c r="A89" s="1">
        <v>45662</v>
      </c>
      <c r="B89" t="s">
        <v>5</v>
      </c>
      <c r="C89" t="s">
        <v>13</v>
      </c>
      <c r="D89" t="s">
        <v>32</v>
      </c>
      <c r="E89">
        <v>2100</v>
      </c>
      <c r="F89">
        <v>13</v>
      </c>
      <c r="G89">
        <v>5000</v>
      </c>
      <c r="H89" s="10">
        <f t="shared" si="2"/>
        <v>65000</v>
      </c>
      <c r="I89" s="10">
        <f t="shared" si="3"/>
        <v>62900</v>
      </c>
    </row>
    <row r="90" spans="1:9" x14ac:dyDescent="0.25">
      <c r="A90" s="1">
        <v>45681</v>
      </c>
      <c r="B90" t="s">
        <v>4</v>
      </c>
      <c r="C90" t="s">
        <v>12</v>
      </c>
      <c r="D90" t="s">
        <v>33</v>
      </c>
      <c r="E90">
        <v>2100</v>
      </c>
      <c r="F90">
        <v>12</v>
      </c>
      <c r="G90">
        <v>15000</v>
      </c>
      <c r="H90" s="10">
        <f t="shared" si="2"/>
        <v>180000</v>
      </c>
      <c r="I90" s="10">
        <f t="shared" si="3"/>
        <v>177900</v>
      </c>
    </row>
    <row r="91" spans="1:9" x14ac:dyDescent="0.25">
      <c r="A91" s="1">
        <v>45716</v>
      </c>
      <c r="B91" t="s">
        <v>3</v>
      </c>
      <c r="C91" t="s">
        <v>11</v>
      </c>
      <c r="D91" t="s">
        <v>33</v>
      </c>
      <c r="E91">
        <v>2100</v>
      </c>
      <c r="F91">
        <v>12</v>
      </c>
      <c r="G91">
        <v>80000</v>
      </c>
      <c r="H91" s="10">
        <f t="shared" si="2"/>
        <v>960000</v>
      </c>
      <c r="I91" s="10">
        <f t="shared" si="3"/>
        <v>957900</v>
      </c>
    </row>
    <row r="92" spans="1:9" x14ac:dyDescent="0.25">
      <c r="A92" s="1">
        <v>45745</v>
      </c>
      <c r="B92" t="s">
        <v>3</v>
      </c>
      <c r="C92" t="s">
        <v>9</v>
      </c>
      <c r="D92" t="s">
        <v>14</v>
      </c>
      <c r="E92">
        <v>2100</v>
      </c>
      <c r="F92">
        <v>13</v>
      </c>
      <c r="G92">
        <v>120000</v>
      </c>
      <c r="H92" s="10">
        <f t="shared" si="2"/>
        <v>1560000</v>
      </c>
      <c r="I92" s="10">
        <f t="shared" si="3"/>
        <v>1557900</v>
      </c>
    </row>
    <row r="93" spans="1:9" x14ac:dyDescent="0.25">
      <c r="A93" s="1">
        <v>45787</v>
      </c>
      <c r="B93" t="s">
        <v>4</v>
      </c>
      <c r="C93" t="s">
        <v>10</v>
      </c>
      <c r="D93" t="s">
        <v>14</v>
      </c>
      <c r="E93">
        <v>2100</v>
      </c>
      <c r="F93">
        <v>5</v>
      </c>
      <c r="G93">
        <v>10000</v>
      </c>
      <c r="H93" s="10">
        <f t="shared" si="2"/>
        <v>50000</v>
      </c>
      <c r="I93" s="10">
        <f t="shared" si="3"/>
        <v>47900</v>
      </c>
    </row>
    <row r="94" spans="1:9" x14ac:dyDescent="0.25">
      <c r="A94" s="1">
        <v>45669</v>
      </c>
      <c r="B94" t="s">
        <v>6</v>
      </c>
      <c r="C94" t="s">
        <v>13</v>
      </c>
      <c r="D94" t="s">
        <v>33</v>
      </c>
      <c r="E94">
        <v>2500</v>
      </c>
      <c r="F94">
        <v>18</v>
      </c>
      <c r="G94">
        <v>80000</v>
      </c>
      <c r="H94" s="10">
        <f t="shared" si="2"/>
        <v>1440000</v>
      </c>
      <c r="I94" s="10">
        <f t="shared" si="3"/>
        <v>1437500</v>
      </c>
    </row>
    <row r="95" spans="1:9" x14ac:dyDescent="0.25">
      <c r="A95" s="1">
        <v>45692</v>
      </c>
      <c r="B95" t="s">
        <v>6</v>
      </c>
      <c r="C95" t="s">
        <v>11</v>
      </c>
      <c r="D95" t="s">
        <v>30</v>
      </c>
      <c r="E95">
        <v>2500</v>
      </c>
      <c r="F95">
        <v>19</v>
      </c>
      <c r="G95">
        <v>350000</v>
      </c>
      <c r="H95" s="10">
        <f t="shared" si="2"/>
        <v>6650000</v>
      </c>
      <c r="I95" s="10">
        <f t="shared" si="3"/>
        <v>6647500</v>
      </c>
    </row>
    <row r="96" spans="1:9" x14ac:dyDescent="0.25">
      <c r="A96" s="1">
        <v>45721</v>
      </c>
      <c r="B96" t="s">
        <v>4</v>
      </c>
      <c r="C96" t="s">
        <v>9</v>
      </c>
      <c r="D96" t="s">
        <v>34</v>
      </c>
      <c r="E96">
        <v>2500</v>
      </c>
      <c r="F96">
        <v>3</v>
      </c>
      <c r="G96">
        <v>120000</v>
      </c>
      <c r="H96" s="10">
        <f t="shared" si="2"/>
        <v>360000</v>
      </c>
      <c r="I96" s="10">
        <f t="shared" si="3"/>
        <v>357500</v>
      </c>
    </row>
    <row r="97" spans="1:9" x14ac:dyDescent="0.25">
      <c r="A97" s="1">
        <v>45746</v>
      </c>
      <c r="B97" t="s">
        <v>4</v>
      </c>
      <c r="C97" t="s">
        <v>13</v>
      </c>
      <c r="D97" t="s">
        <v>33</v>
      </c>
      <c r="E97">
        <v>2500</v>
      </c>
      <c r="F97">
        <v>16</v>
      </c>
      <c r="G97">
        <v>120000</v>
      </c>
      <c r="H97" s="10">
        <f t="shared" si="2"/>
        <v>1920000</v>
      </c>
      <c r="I97" s="10">
        <f t="shared" si="3"/>
        <v>1917500</v>
      </c>
    </row>
    <row r="98" spans="1:9" x14ac:dyDescent="0.25">
      <c r="A98" s="1">
        <v>45789</v>
      </c>
      <c r="B98" t="s">
        <v>5</v>
      </c>
      <c r="C98" t="s">
        <v>31</v>
      </c>
      <c r="D98" t="s">
        <v>32</v>
      </c>
      <c r="E98">
        <v>2500</v>
      </c>
      <c r="F98">
        <v>12</v>
      </c>
      <c r="G98">
        <v>120000</v>
      </c>
      <c r="H98" s="10">
        <f t="shared" si="2"/>
        <v>1440000</v>
      </c>
      <c r="I98" s="10">
        <f t="shared" si="3"/>
        <v>1437500</v>
      </c>
    </row>
    <row r="99" spans="1:9" x14ac:dyDescent="0.25">
      <c r="A99" s="1">
        <v>45661</v>
      </c>
      <c r="B99" t="s">
        <v>3</v>
      </c>
      <c r="C99" t="s">
        <v>9</v>
      </c>
      <c r="D99" t="s">
        <v>30</v>
      </c>
      <c r="E99">
        <v>3000</v>
      </c>
      <c r="F99">
        <v>3</v>
      </c>
      <c r="G99">
        <v>15000</v>
      </c>
      <c r="H99" s="10">
        <f t="shared" si="2"/>
        <v>45000</v>
      </c>
      <c r="I99" s="10">
        <f t="shared" si="3"/>
        <v>42000</v>
      </c>
    </row>
    <row r="100" spans="1:9" x14ac:dyDescent="0.25">
      <c r="A100" s="1">
        <v>45679</v>
      </c>
      <c r="B100" t="s">
        <v>6</v>
      </c>
      <c r="C100" t="s">
        <v>11</v>
      </c>
      <c r="D100" t="s">
        <v>30</v>
      </c>
      <c r="E100">
        <v>3000</v>
      </c>
      <c r="F100">
        <v>16</v>
      </c>
      <c r="G100">
        <v>5000</v>
      </c>
      <c r="H100" s="10">
        <f t="shared" si="2"/>
        <v>80000</v>
      </c>
      <c r="I100" s="10">
        <f t="shared" si="3"/>
        <v>77000</v>
      </c>
    </row>
    <row r="101" spans="1:9" x14ac:dyDescent="0.25">
      <c r="A101" s="1">
        <v>45715</v>
      </c>
      <c r="B101" t="s">
        <v>6</v>
      </c>
      <c r="C101" t="s">
        <v>10</v>
      </c>
      <c r="D101" t="s">
        <v>33</v>
      </c>
      <c r="E101">
        <v>3000</v>
      </c>
      <c r="F101">
        <v>17</v>
      </c>
      <c r="G101">
        <v>120000</v>
      </c>
      <c r="H101" s="10">
        <f t="shared" si="2"/>
        <v>2040000</v>
      </c>
      <c r="I101" s="10">
        <f t="shared" si="3"/>
        <v>2037000</v>
      </c>
    </row>
    <row r="102" spans="1:9" x14ac:dyDescent="0.25">
      <c r="A102" s="1">
        <v>45745</v>
      </c>
      <c r="B102" t="s">
        <v>6</v>
      </c>
      <c r="C102" t="s">
        <v>11</v>
      </c>
      <c r="D102" t="s">
        <v>30</v>
      </c>
      <c r="E102">
        <v>3000</v>
      </c>
      <c r="F102">
        <v>19</v>
      </c>
      <c r="G102">
        <v>80000</v>
      </c>
      <c r="H102" s="10">
        <f t="shared" si="2"/>
        <v>1520000</v>
      </c>
      <c r="I102" s="10">
        <f t="shared" si="3"/>
        <v>1517000</v>
      </c>
    </row>
    <row r="103" spans="1:9" x14ac:dyDescent="0.25">
      <c r="A103" s="1">
        <v>45786</v>
      </c>
      <c r="B103" t="s">
        <v>4</v>
      </c>
      <c r="C103" t="s">
        <v>9</v>
      </c>
      <c r="D103" t="s">
        <v>30</v>
      </c>
      <c r="E103">
        <v>3000</v>
      </c>
      <c r="F103">
        <v>14</v>
      </c>
      <c r="G103">
        <v>5000</v>
      </c>
      <c r="H103" s="10">
        <f t="shared" si="2"/>
        <v>70000</v>
      </c>
      <c r="I103" s="10">
        <f t="shared" si="3"/>
        <v>67000</v>
      </c>
    </row>
    <row r="104" spans="1:9" x14ac:dyDescent="0.25">
      <c r="A104" s="1">
        <v>45666</v>
      </c>
      <c r="B104" t="s">
        <v>4</v>
      </c>
      <c r="C104" t="s">
        <v>11</v>
      </c>
      <c r="D104" t="s">
        <v>34</v>
      </c>
      <c r="E104">
        <v>4000</v>
      </c>
      <c r="F104">
        <v>16</v>
      </c>
      <c r="G104">
        <v>80000</v>
      </c>
      <c r="H104" s="10">
        <f t="shared" si="2"/>
        <v>1280000</v>
      </c>
      <c r="I104" s="10">
        <f t="shared" si="3"/>
        <v>1276000</v>
      </c>
    </row>
    <row r="105" spans="1:9" x14ac:dyDescent="0.25">
      <c r="A105" s="1">
        <v>45671</v>
      </c>
      <c r="B105" t="s">
        <v>4</v>
      </c>
      <c r="C105" t="s">
        <v>13</v>
      </c>
      <c r="D105" t="s">
        <v>33</v>
      </c>
      <c r="E105">
        <v>4000</v>
      </c>
      <c r="F105">
        <v>19</v>
      </c>
      <c r="G105">
        <v>120000</v>
      </c>
      <c r="H105" s="10">
        <f t="shared" si="2"/>
        <v>2280000</v>
      </c>
      <c r="I105" s="10">
        <f t="shared" si="3"/>
        <v>2276000</v>
      </c>
    </row>
    <row r="106" spans="1:9" x14ac:dyDescent="0.25">
      <c r="A106" s="1">
        <v>45690</v>
      </c>
      <c r="B106" t="s">
        <v>5</v>
      </c>
      <c r="C106" t="s">
        <v>10</v>
      </c>
      <c r="D106" t="s">
        <v>30</v>
      </c>
      <c r="E106">
        <v>4000</v>
      </c>
      <c r="F106">
        <v>3</v>
      </c>
      <c r="G106">
        <v>5000</v>
      </c>
      <c r="H106" s="10">
        <f t="shared" si="2"/>
        <v>15000</v>
      </c>
      <c r="I106" s="10">
        <f t="shared" si="3"/>
        <v>11000</v>
      </c>
    </row>
    <row r="107" spans="1:9" x14ac:dyDescent="0.25">
      <c r="A107" s="1">
        <v>45694</v>
      </c>
      <c r="B107" t="s">
        <v>6</v>
      </c>
      <c r="C107" t="s">
        <v>31</v>
      </c>
      <c r="D107" t="s">
        <v>32</v>
      </c>
      <c r="E107">
        <v>4000</v>
      </c>
      <c r="F107">
        <v>16</v>
      </c>
      <c r="G107">
        <v>120000</v>
      </c>
      <c r="H107" s="10">
        <f t="shared" si="2"/>
        <v>1920000</v>
      </c>
      <c r="I107" s="10">
        <f t="shared" si="3"/>
        <v>1916000</v>
      </c>
    </row>
    <row r="108" spans="1:9" x14ac:dyDescent="0.25">
      <c r="A108" s="1">
        <v>45720</v>
      </c>
      <c r="B108" t="s">
        <v>4</v>
      </c>
      <c r="C108" t="s">
        <v>12</v>
      </c>
      <c r="D108" t="s">
        <v>30</v>
      </c>
      <c r="E108">
        <v>4000</v>
      </c>
      <c r="F108">
        <v>14</v>
      </c>
      <c r="G108">
        <v>350000</v>
      </c>
      <c r="H108" s="10">
        <f t="shared" si="2"/>
        <v>4900000</v>
      </c>
      <c r="I108" s="10">
        <f t="shared" si="3"/>
        <v>4896000</v>
      </c>
    </row>
    <row r="109" spans="1:9" x14ac:dyDescent="0.25">
      <c r="A109" s="1">
        <v>45728</v>
      </c>
      <c r="B109" t="s">
        <v>6</v>
      </c>
      <c r="C109" t="s">
        <v>11</v>
      </c>
      <c r="D109" t="s">
        <v>14</v>
      </c>
      <c r="E109">
        <v>4000</v>
      </c>
      <c r="F109">
        <v>16</v>
      </c>
      <c r="G109">
        <v>5000</v>
      </c>
      <c r="H109" s="10">
        <f t="shared" si="2"/>
        <v>80000</v>
      </c>
      <c r="I109" s="10">
        <f t="shared" si="3"/>
        <v>76000</v>
      </c>
    </row>
    <row r="110" spans="1:9" x14ac:dyDescent="0.25">
      <c r="A110" s="1">
        <v>45746</v>
      </c>
      <c r="B110" t="s">
        <v>5</v>
      </c>
      <c r="C110" t="s">
        <v>9</v>
      </c>
      <c r="D110" t="s">
        <v>33</v>
      </c>
      <c r="E110">
        <v>4000</v>
      </c>
      <c r="F110">
        <v>14</v>
      </c>
      <c r="G110">
        <v>10000</v>
      </c>
      <c r="H110" s="10">
        <f t="shared" si="2"/>
        <v>140000</v>
      </c>
      <c r="I110" s="10">
        <f t="shared" si="3"/>
        <v>136000</v>
      </c>
    </row>
    <row r="111" spans="1:9" x14ac:dyDescent="0.25">
      <c r="A111" s="1">
        <v>45749</v>
      </c>
      <c r="B111" t="s">
        <v>6</v>
      </c>
      <c r="C111" t="s">
        <v>9</v>
      </c>
      <c r="D111" t="s">
        <v>34</v>
      </c>
      <c r="E111">
        <v>4000</v>
      </c>
      <c r="F111">
        <v>7</v>
      </c>
      <c r="G111">
        <v>10000</v>
      </c>
      <c r="H111" s="10">
        <f t="shared" si="2"/>
        <v>70000</v>
      </c>
      <c r="I111" s="10">
        <f t="shared" si="3"/>
        <v>66000</v>
      </c>
    </row>
    <row r="112" spans="1:9" x14ac:dyDescent="0.25">
      <c r="A112" s="1">
        <v>45788</v>
      </c>
      <c r="B112" t="s">
        <v>5</v>
      </c>
      <c r="C112" t="s">
        <v>31</v>
      </c>
      <c r="D112" t="s">
        <v>34</v>
      </c>
      <c r="E112">
        <v>4000</v>
      </c>
      <c r="F112">
        <v>13</v>
      </c>
      <c r="G112">
        <v>120000</v>
      </c>
      <c r="H112" s="10">
        <f t="shared" si="2"/>
        <v>1560000</v>
      </c>
      <c r="I112" s="10">
        <f t="shared" si="3"/>
        <v>1556000</v>
      </c>
    </row>
    <row r="113" spans="1:9" x14ac:dyDescent="0.25">
      <c r="A113" s="1">
        <v>45791</v>
      </c>
      <c r="B113" t="s">
        <v>4</v>
      </c>
      <c r="C113" t="s">
        <v>10</v>
      </c>
      <c r="D113" t="s">
        <v>29</v>
      </c>
      <c r="E113">
        <v>4000</v>
      </c>
      <c r="F113">
        <v>19</v>
      </c>
      <c r="G113">
        <v>10000</v>
      </c>
      <c r="H113" s="10">
        <f t="shared" si="2"/>
        <v>190000</v>
      </c>
      <c r="I113" s="10">
        <f t="shared" si="3"/>
        <v>186000</v>
      </c>
    </row>
    <row r="114" spans="1:9" x14ac:dyDescent="0.25">
      <c r="A114" s="1">
        <v>45808</v>
      </c>
      <c r="B114" t="s">
        <v>5</v>
      </c>
      <c r="C114" t="s">
        <v>10</v>
      </c>
      <c r="D114" t="s">
        <v>32</v>
      </c>
      <c r="E114">
        <v>4000</v>
      </c>
      <c r="F114">
        <v>12</v>
      </c>
      <c r="G114">
        <v>5000</v>
      </c>
      <c r="H114" s="10">
        <f t="shared" si="2"/>
        <v>60000</v>
      </c>
      <c r="I114" s="10">
        <f t="shared" si="3"/>
        <v>56000</v>
      </c>
    </row>
    <row r="115" spans="1:9" x14ac:dyDescent="0.25">
      <c r="A115" s="1">
        <v>45820</v>
      </c>
      <c r="B115" t="s">
        <v>6</v>
      </c>
      <c r="C115" t="s">
        <v>9</v>
      </c>
      <c r="D115" t="s">
        <v>29</v>
      </c>
      <c r="E115">
        <v>4000</v>
      </c>
      <c r="F115">
        <v>17</v>
      </c>
      <c r="G115">
        <v>80000</v>
      </c>
      <c r="H115" s="10">
        <f t="shared" si="2"/>
        <v>1360000</v>
      </c>
      <c r="I115" s="10">
        <f t="shared" si="3"/>
        <v>1356000</v>
      </c>
    </row>
    <row r="116" spans="1:9" x14ac:dyDescent="0.25">
      <c r="A116" s="1">
        <v>45832</v>
      </c>
      <c r="B116" t="s">
        <v>3</v>
      </c>
      <c r="C116" t="s">
        <v>11</v>
      </c>
      <c r="D116" t="s">
        <v>30</v>
      </c>
      <c r="E116">
        <v>4000</v>
      </c>
      <c r="F116">
        <v>5</v>
      </c>
      <c r="G116">
        <v>10000</v>
      </c>
      <c r="H116" s="10">
        <f t="shared" si="2"/>
        <v>50000</v>
      </c>
      <c r="I116" s="10">
        <f t="shared" si="3"/>
        <v>46000</v>
      </c>
    </row>
    <row r="117" spans="1:9" x14ac:dyDescent="0.25">
      <c r="A117" s="1">
        <v>45659</v>
      </c>
      <c r="B117" t="s">
        <v>5</v>
      </c>
      <c r="C117" t="s">
        <v>10</v>
      </c>
      <c r="D117" t="s">
        <v>29</v>
      </c>
      <c r="E117">
        <v>21000</v>
      </c>
      <c r="F117">
        <v>8</v>
      </c>
      <c r="G117">
        <v>350000</v>
      </c>
      <c r="H117" s="10">
        <f t="shared" si="2"/>
        <v>2800000</v>
      </c>
      <c r="I117" s="10">
        <f t="shared" si="3"/>
        <v>2779000</v>
      </c>
    </row>
    <row r="118" spans="1:9" x14ac:dyDescent="0.25">
      <c r="A118" s="1">
        <v>45678</v>
      </c>
      <c r="B118" t="s">
        <v>6</v>
      </c>
      <c r="C118" t="s">
        <v>13</v>
      </c>
      <c r="D118" t="s">
        <v>34</v>
      </c>
      <c r="E118">
        <v>21000</v>
      </c>
      <c r="F118">
        <v>4</v>
      </c>
      <c r="G118">
        <v>120000</v>
      </c>
      <c r="H118" s="10">
        <f t="shared" si="2"/>
        <v>480000</v>
      </c>
      <c r="I118" s="10">
        <f t="shared" si="3"/>
        <v>459000</v>
      </c>
    </row>
    <row r="119" spans="1:9" x14ac:dyDescent="0.25">
      <c r="A119" s="1">
        <v>45712</v>
      </c>
      <c r="B119" t="s">
        <v>6</v>
      </c>
      <c r="C119" t="s">
        <v>11</v>
      </c>
      <c r="D119" t="s">
        <v>32</v>
      </c>
      <c r="E119">
        <v>21000</v>
      </c>
      <c r="F119">
        <v>2</v>
      </c>
      <c r="G119">
        <v>350000</v>
      </c>
      <c r="H119" s="10">
        <f t="shared" si="2"/>
        <v>700000</v>
      </c>
      <c r="I119" s="10">
        <f t="shared" si="3"/>
        <v>679000</v>
      </c>
    </row>
    <row r="120" spans="1:9" x14ac:dyDescent="0.25">
      <c r="A120" s="1">
        <v>45741</v>
      </c>
      <c r="B120" t="s">
        <v>6</v>
      </c>
      <c r="C120" t="s">
        <v>11</v>
      </c>
      <c r="D120" t="s">
        <v>32</v>
      </c>
      <c r="E120">
        <v>21000</v>
      </c>
      <c r="F120">
        <v>11</v>
      </c>
      <c r="G120">
        <v>5000</v>
      </c>
      <c r="H120" s="10">
        <f t="shared" si="2"/>
        <v>55000</v>
      </c>
      <c r="I120" s="10">
        <f t="shared" si="3"/>
        <v>34000</v>
      </c>
    </row>
    <row r="121" spans="1:9" x14ac:dyDescent="0.25">
      <c r="A121" s="1">
        <v>45781</v>
      </c>
      <c r="B121" t="s">
        <v>3</v>
      </c>
      <c r="C121" t="s">
        <v>13</v>
      </c>
      <c r="D121" t="s">
        <v>32</v>
      </c>
      <c r="E121">
        <v>21000</v>
      </c>
      <c r="F121">
        <v>1</v>
      </c>
      <c r="G121">
        <v>5000</v>
      </c>
      <c r="H121" s="10">
        <f t="shared" si="2"/>
        <v>5000</v>
      </c>
      <c r="I121" s="10">
        <f t="shared" si="3"/>
        <v>-16000</v>
      </c>
    </row>
  </sheetData>
  <autoFilter ref="A1:I1" xr:uid="{00000000-0001-0000-0200-000000000000}"/>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Table</vt:lpstr>
      <vt:lpstr>Sheet2</vt:lpstr>
      <vt:lpstr>Dashboard2</vt:lpstr>
      <vt:lpstr>HP_Nigeria_Sales_Data.xlsx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chisom adiele</cp:lastModifiedBy>
  <dcterms:created xsi:type="dcterms:W3CDTF">2025-10-17T07:20:00Z</dcterms:created>
  <dcterms:modified xsi:type="dcterms:W3CDTF">2026-08-15T10:31:35Z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81264E936FC44ABEAD9CDA9F38F384E4_12</vt:lpwstr>
  </property>
  <property fmtid="{D5CDD505-2E9C-101B-9397-08002B2CF9AE}" pid="3" name="KSOProductBuildVer">
    <vt:lpwstr>1033-12.1.0.28032</vt:lpwstr>
  </property>
  <property fmtid="{D5CDD505-2E9C-101B-9397-08002B2CF9AE}" pid="4" name="CalculationRule">
    <vt:i4>0</vt:i4>
  </property>
</Properties>
</file>